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kartverket.sharepoint.com/sites/Geovekst/Delte dokumenter/PROFF-FKB/2025/FKB-TraktorvegSti/"/>
    </mc:Choice>
  </mc:AlternateContent>
  <xr:revisionPtr revIDLastSave="0" documentId="8_{E0531815-FFAD-4440-878D-4EFD4F8CB96C}" xr6:coauthVersionLast="47" xr6:coauthVersionMax="47" xr10:uidLastSave="{00000000-0000-0000-0000-000000000000}"/>
  <bookViews>
    <workbookView xWindow="-120" yWindow="-120" windowWidth="38640" windowHeight="21120" firstSheet="2" activeTab="2" xr2:uid="{F178989B-6370-459E-8111-24715DDB426B}"/>
  </bookViews>
  <sheets>
    <sheet name="Data" sheetId="1" r:id="rId1"/>
    <sheet name="Tidbruk" sheetId="2" r:id="rId2"/>
    <sheet name="pivot" sheetId="4" r:id="rId3"/>
  </sheets>
  <definedNames>
    <definedName name="_xlnm._FilterDatabase" localSheetId="0" hidden="1">Data!$C$1:$L$358</definedName>
  </definedNames>
  <calcPr calcId="191028"/>
  <pivotCaches>
    <pivotCache cacheId="275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2" l="1"/>
  <c r="G50" i="2"/>
  <c r="G51" i="2"/>
  <c r="G52" i="2"/>
  <c r="G53" i="2"/>
  <c r="G54" i="2"/>
  <c r="G55" i="2"/>
  <c r="G56" i="2"/>
  <c r="G57" i="2"/>
  <c r="G58" i="2"/>
  <c r="G59" i="2"/>
  <c r="E49" i="2"/>
  <c r="E50" i="2"/>
  <c r="E51" i="2"/>
  <c r="E52" i="2"/>
  <c r="E53" i="2"/>
  <c r="E54" i="2"/>
  <c r="E55" i="2"/>
  <c r="E56" i="2"/>
  <c r="E57" i="2"/>
  <c r="E58" i="2"/>
  <c r="E59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J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2" i="2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2" i="1"/>
  <c r="O3" i="1"/>
  <c r="O4" i="1"/>
  <c r="O5" i="1"/>
  <c r="O6" i="1"/>
  <c r="O7" i="1"/>
  <c r="O8" i="1"/>
  <c r="O9" i="1"/>
  <c r="O10" i="1"/>
  <c r="O11" i="1"/>
  <c r="J1" i="2" l="1"/>
  <c r="P109" i="1" s="1"/>
  <c r="Q109" i="1" s="1"/>
  <c r="P352" i="1"/>
  <c r="Q352" i="1" s="1"/>
  <c r="P63" i="1"/>
  <c r="Q63" i="1" s="1"/>
  <c r="P32" i="1"/>
  <c r="Q32" i="1" s="1"/>
  <c r="P121" i="1"/>
  <c r="Q121" i="1" s="1"/>
  <c r="P247" i="1"/>
  <c r="Q247" i="1" s="1"/>
  <c r="P349" i="1"/>
  <c r="Q349" i="1" s="1"/>
  <c r="P230" i="1"/>
  <c r="Q230" i="1" s="1"/>
  <c r="P285" i="1"/>
  <c r="Q285" i="1" s="1"/>
  <c r="P69" i="1"/>
  <c r="Q69" i="1" s="1"/>
  <c r="P184" i="1"/>
  <c r="Q184" i="1" s="1"/>
  <c r="P307" i="1"/>
  <c r="Q307" i="1" s="1"/>
  <c r="P331" i="1"/>
  <c r="Q331" i="1" s="1"/>
  <c r="P11" i="1"/>
  <c r="Q11" i="1" s="1"/>
  <c r="P153" i="1"/>
  <c r="Q153" i="1" s="1"/>
  <c r="P7" i="1"/>
  <c r="Q7" i="1" s="1"/>
  <c r="P87" i="1"/>
  <c r="Q87" i="1" s="1"/>
  <c r="P335" i="1"/>
  <c r="Q335" i="1" s="1"/>
  <c r="P355" i="1"/>
  <c r="Q355" i="1" s="1"/>
  <c r="P97" i="1"/>
  <c r="Q97" i="1" s="1"/>
  <c r="P117" i="1"/>
  <c r="Q117" i="1" s="1"/>
  <c r="P218" i="1"/>
  <c r="Q218" i="1" s="1"/>
  <c r="P238" i="1"/>
  <c r="Q238" i="1" s="1"/>
  <c r="P278" i="1"/>
  <c r="Q278" i="1" s="1"/>
  <c r="P315" i="1" l="1"/>
  <c r="Q315" i="1" s="1"/>
  <c r="P302" i="1"/>
  <c r="Q302" i="1" s="1"/>
  <c r="P342" i="1"/>
  <c r="Q342" i="1" s="1"/>
  <c r="R342" i="1" s="1"/>
  <c r="P283" i="1"/>
  <c r="Q283" i="1" s="1"/>
  <c r="R283" i="1" s="1"/>
  <c r="P240" i="1"/>
  <c r="Q240" i="1" s="1"/>
  <c r="S240" i="1" s="1"/>
  <c r="P173" i="1"/>
  <c r="Q173" i="1" s="1"/>
  <c r="R173" i="1" s="1"/>
  <c r="P191" i="1"/>
  <c r="Q191" i="1" s="1"/>
  <c r="R191" i="1" s="1"/>
  <c r="P309" i="1"/>
  <c r="Q309" i="1" s="1"/>
  <c r="S309" i="1" s="1"/>
  <c r="P328" i="1"/>
  <c r="Q328" i="1" s="1"/>
  <c r="R328" i="1" s="1"/>
  <c r="P198" i="1"/>
  <c r="Q198" i="1" s="1"/>
  <c r="P57" i="1"/>
  <c r="Q57" i="1" s="1"/>
  <c r="R57" i="1" s="1"/>
  <c r="P295" i="1"/>
  <c r="Q295" i="1" s="1"/>
  <c r="S295" i="1" s="1"/>
  <c r="P192" i="1"/>
  <c r="Q192" i="1" s="1"/>
  <c r="R192" i="1" s="1"/>
  <c r="P314" i="1"/>
  <c r="Q314" i="1" s="1"/>
  <c r="S314" i="1" s="1"/>
  <c r="P253" i="1"/>
  <c r="Q253" i="1" s="1"/>
  <c r="S253" i="1" s="1"/>
  <c r="P41" i="1"/>
  <c r="Q41" i="1" s="1"/>
  <c r="R41" i="1" s="1"/>
  <c r="P120" i="1"/>
  <c r="Q120" i="1" s="1"/>
  <c r="R120" i="1" s="1"/>
  <c r="P133" i="1"/>
  <c r="Q133" i="1" s="1"/>
  <c r="R133" i="1" s="1"/>
  <c r="P260" i="1"/>
  <c r="Q260" i="1" s="1"/>
  <c r="R260" i="1" s="1"/>
  <c r="P250" i="1"/>
  <c r="Q250" i="1" s="1"/>
  <c r="R250" i="1" s="1"/>
  <c r="P38" i="1"/>
  <c r="Q38" i="1" s="1"/>
  <c r="S38" i="1" s="1"/>
  <c r="P178" i="1"/>
  <c r="Q178" i="1" s="1"/>
  <c r="P37" i="1"/>
  <c r="Q37" i="1" s="1"/>
  <c r="R37" i="1" s="1"/>
  <c r="P275" i="1"/>
  <c r="Q275" i="1" s="1"/>
  <c r="S275" i="1" s="1"/>
  <c r="P50" i="1"/>
  <c r="Q50" i="1" s="1"/>
  <c r="S50" i="1" s="1"/>
  <c r="P265" i="1"/>
  <c r="Q265" i="1" s="1"/>
  <c r="R265" i="1" s="1"/>
  <c r="P228" i="1"/>
  <c r="Q228" i="1" s="1"/>
  <c r="S228" i="1" s="1"/>
  <c r="P289" i="1"/>
  <c r="Q289" i="1" s="1"/>
  <c r="P89" i="1"/>
  <c r="Q89" i="1" s="1"/>
  <c r="R89" i="1" s="1"/>
  <c r="P21" i="1"/>
  <c r="Q21" i="1" s="1"/>
  <c r="R21" i="1" s="1"/>
  <c r="P353" i="1"/>
  <c r="Q353" i="1" s="1"/>
  <c r="R353" i="1" s="1"/>
  <c r="P225" i="1"/>
  <c r="Q225" i="1" s="1"/>
  <c r="R225" i="1" s="1"/>
  <c r="P279" i="1"/>
  <c r="Q279" i="1" s="1"/>
  <c r="S279" i="1" s="1"/>
  <c r="P158" i="1"/>
  <c r="Q158" i="1" s="1"/>
  <c r="R158" i="1" s="1"/>
  <c r="P17" i="1"/>
  <c r="Q17" i="1" s="1"/>
  <c r="R17" i="1" s="1"/>
  <c r="P255" i="1"/>
  <c r="Q255" i="1" s="1"/>
  <c r="R255" i="1" s="1"/>
  <c r="P325" i="1"/>
  <c r="Q325" i="1" s="1"/>
  <c r="S325" i="1" s="1"/>
  <c r="P183" i="1"/>
  <c r="Q183" i="1" s="1"/>
  <c r="R183" i="1" s="1"/>
  <c r="P86" i="1"/>
  <c r="Q86" i="1" s="1"/>
  <c r="S86" i="1" s="1"/>
  <c r="P209" i="1"/>
  <c r="Q209" i="1" s="1"/>
  <c r="R209" i="1" s="1"/>
  <c r="P62" i="1"/>
  <c r="Q62" i="1" s="1"/>
  <c r="P347" i="1"/>
  <c r="Q347" i="1" s="1"/>
  <c r="S347" i="1" s="1"/>
  <c r="P251" i="1"/>
  <c r="Q251" i="1" s="1"/>
  <c r="P83" i="1"/>
  <c r="Q83" i="1" s="1"/>
  <c r="P138" i="1"/>
  <c r="Q138" i="1" s="1"/>
  <c r="S138" i="1" s="1"/>
  <c r="P152" i="1"/>
  <c r="Q152" i="1" s="1"/>
  <c r="S152" i="1" s="1"/>
  <c r="P226" i="1"/>
  <c r="Q226" i="1" s="1"/>
  <c r="R226" i="1" s="1"/>
  <c r="P324" i="1"/>
  <c r="Q324" i="1" s="1"/>
  <c r="R324" i="1" s="1"/>
  <c r="P72" i="1"/>
  <c r="Q72" i="1" s="1"/>
  <c r="S72" i="1" s="1"/>
  <c r="P98" i="1"/>
  <c r="Q98" i="1" s="1"/>
  <c r="S98" i="1" s="1"/>
  <c r="P273" i="1"/>
  <c r="Q273" i="1" s="1"/>
  <c r="R273" i="1" s="1"/>
  <c r="P169" i="1"/>
  <c r="Q169" i="1" s="1"/>
  <c r="S169" i="1" s="1"/>
  <c r="P115" i="1"/>
  <c r="Q115" i="1" s="1"/>
  <c r="R115" i="1" s="1"/>
  <c r="P108" i="1"/>
  <c r="Q108" i="1" s="1"/>
  <c r="S108" i="1" s="1"/>
  <c r="P186" i="1"/>
  <c r="Q186" i="1" s="1"/>
  <c r="S186" i="1" s="1"/>
  <c r="P216" i="1"/>
  <c r="Q216" i="1" s="1"/>
  <c r="R216" i="1" s="1"/>
  <c r="P272" i="1"/>
  <c r="Q272" i="1" s="1"/>
  <c r="R272" i="1" s="1"/>
  <c r="P344" i="1"/>
  <c r="Q344" i="1" s="1"/>
  <c r="S344" i="1" s="1"/>
  <c r="P18" i="1"/>
  <c r="Q18" i="1" s="1"/>
  <c r="S18" i="1" s="1"/>
  <c r="P196" i="1"/>
  <c r="Q196" i="1" s="1"/>
  <c r="R196" i="1" s="1"/>
  <c r="P75" i="1"/>
  <c r="Q75" i="1" s="1"/>
  <c r="R75" i="1" s="1"/>
  <c r="P189" i="1"/>
  <c r="Q189" i="1" s="1"/>
  <c r="P181" i="1"/>
  <c r="Q181" i="1" s="1"/>
  <c r="S181" i="1" s="1"/>
  <c r="P221" i="1"/>
  <c r="Q221" i="1" s="1"/>
  <c r="S221" i="1" s="1"/>
  <c r="P287" i="1"/>
  <c r="Q287" i="1" s="1"/>
  <c r="R287" i="1" s="1"/>
  <c r="P282" i="1"/>
  <c r="Q282" i="1" s="1"/>
  <c r="R282" i="1" s="1"/>
  <c r="P100" i="1"/>
  <c r="Q100" i="1" s="1"/>
  <c r="R100" i="1" s="1"/>
  <c r="P134" i="1"/>
  <c r="Q134" i="1" s="1"/>
  <c r="R134" i="1" s="1"/>
  <c r="P132" i="1"/>
  <c r="Q132" i="1" s="1"/>
  <c r="R132" i="1" s="1"/>
  <c r="P139" i="1"/>
  <c r="Q139" i="1" s="1"/>
  <c r="R139" i="1" s="1"/>
  <c r="P357" i="1"/>
  <c r="Q357" i="1" s="1"/>
  <c r="P176" i="1"/>
  <c r="Q176" i="1" s="1"/>
  <c r="S176" i="1" s="1"/>
  <c r="P55" i="1"/>
  <c r="Q55" i="1" s="1"/>
  <c r="R55" i="1" s="1"/>
  <c r="P20" i="1"/>
  <c r="Q20" i="1" s="1"/>
  <c r="S20" i="1" s="1"/>
  <c r="P123" i="1"/>
  <c r="Q123" i="1" s="1"/>
  <c r="S123" i="1" s="1"/>
  <c r="P105" i="1"/>
  <c r="Q105" i="1" s="1"/>
  <c r="R105" i="1" s="1"/>
  <c r="P232" i="1"/>
  <c r="Q232" i="1" s="1"/>
  <c r="R232" i="1" s="1"/>
  <c r="P252" i="1"/>
  <c r="Q252" i="1" s="1"/>
  <c r="R252" i="1" s="1"/>
  <c r="P210" i="1"/>
  <c r="Q210" i="1" s="1"/>
  <c r="S210" i="1" s="1"/>
  <c r="P343" i="1"/>
  <c r="Q343" i="1" s="1"/>
  <c r="R343" i="1" s="1"/>
  <c r="P74" i="1"/>
  <c r="Q74" i="1" s="1"/>
  <c r="P77" i="1"/>
  <c r="Q77" i="1" s="1"/>
  <c r="P259" i="1"/>
  <c r="Q259" i="1" s="1"/>
  <c r="R259" i="1" s="1"/>
  <c r="P175" i="1"/>
  <c r="Q175" i="1" s="1"/>
  <c r="S175" i="1" s="1"/>
  <c r="P60" i="1"/>
  <c r="Q60" i="1" s="1"/>
  <c r="S60" i="1" s="1"/>
  <c r="P3" i="1"/>
  <c r="Q3" i="1" s="1"/>
  <c r="R3" i="1" s="1"/>
  <c r="P245" i="1"/>
  <c r="Q245" i="1" s="1"/>
  <c r="P239" i="1"/>
  <c r="Q239" i="1" s="1"/>
  <c r="S239" i="1" s="1"/>
  <c r="P155" i="1"/>
  <c r="Q155" i="1" s="1"/>
  <c r="R155" i="1" s="1"/>
  <c r="P40" i="1"/>
  <c r="Q40" i="1" s="1"/>
  <c r="S40" i="1" s="1"/>
  <c r="P222" i="1"/>
  <c r="Q222" i="1" s="1"/>
  <c r="P219" i="1"/>
  <c r="Q219" i="1" s="1"/>
  <c r="S219" i="1" s="1"/>
  <c r="P135" i="1"/>
  <c r="Q135" i="1" s="1"/>
  <c r="P10" i="1"/>
  <c r="Q10" i="1" s="1"/>
  <c r="R10" i="1" s="1"/>
  <c r="P30" i="1"/>
  <c r="Q30" i="1" s="1"/>
  <c r="R30" i="1" s="1"/>
  <c r="P164" i="1"/>
  <c r="Q164" i="1" s="1"/>
  <c r="R164" i="1" s="1"/>
  <c r="P78" i="1"/>
  <c r="Q78" i="1" s="1"/>
  <c r="S78" i="1" s="1"/>
  <c r="P48" i="1"/>
  <c r="Q48" i="1" s="1"/>
  <c r="R48" i="1" s="1"/>
  <c r="P150" i="1"/>
  <c r="Q150" i="1" s="1"/>
  <c r="R150" i="1" s="1"/>
  <c r="P22" i="1"/>
  <c r="Q22" i="1" s="1"/>
  <c r="R22" i="1" s="1"/>
  <c r="P58" i="1"/>
  <c r="Q58" i="1" s="1"/>
  <c r="S58" i="1" s="1"/>
  <c r="P299" i="1"/>
  <c r="Q299" i="1" s="1"/>
  <c r="P6" i="1"/>
  <c r="Q6" i="1" s="1"/>
  <c r="R6" i="1" s="1"/>
  <c r="P271" i="1"/>
  <c r="Q271" i="1" s="1"/>
  <c r="P119" i="1"/>
  <c r="Q119" i="1" s="1"/>
  <c r="R119" i="1" s="1"/>
  <c r="P337" i="1"/>
  <c r="Q337" i="1" s="1"/>
  <c r="P156" i="1"/>
  <c r="Q156" i="1" s="1"/>
  <c r="R156" i="1" s="1"/>
  <c r="P35" i="1"/>
  <c r="Q35" i="1" s="1"/>
  <c r="R35" i="1" s="1"/>
  <c r="P322" i="1"/>
  <c r="Q322" i="1" s="1"/>
  <c r="R322" i="1" s="1"/>
  <c r="P206" i="1"/>
  <c r="Q206" i="1" s="1"/>
  <c r="R206" i="1" s="1"/>
  <c r="P270" i="1"/>
  <c r="Q270" i="1" s="1"/>
  <c r="S270" i="1" s="1"/>
  <c r="P334" i="1"/>
  <c r="Q334" i="1" s="1"/>
  <c r="R334" i="1" s="1"/>
  <c r="P227" i="1"/>
  <c r="Q227" i="1" s="1"/>
  <c r="S227" i="1" s="1"/>
  <c r="P68" i="1"/>
  <c r="Q68" i="1" s="1"/>
  <c r="R68" i="1" s="1"/>
  <c r="P126" i="1"/>
  <c r="Q126" i="1" s="1"/>
  <c r="S126" i="1" s="1"/>
  <c r="P323" i="1"/>
  <c r="Q323" i="1" s="1"/>
  <c r="R323" i="1" s="1"/>
  <c r="P99" i="1"/>
  <c r="Q99" i="1" s="1"/>
  <c r="R99" i="1" s="1"/>
  <c r="P257" i="1"/>
  <c r="Q257" i="1" s="1"/>
  <c r="R257" i="1" s="1"/>
  <c r="P136" i="1"/>
  <c r="Q136" i="1" s="1"/>
  <c r="R136" i="1" s="1"/>
  <c r="P15" i="1"/>
  <c r="Q15" i="1" s="1"/>
  <c r="R15" i="1" s="1"/>
  <c r="P269" i="1"/>
  <c r="Q269" i="1" s="1"/>
  <c r="P64" i="1"/>
  <c r="Q64" i="1" s="1"/>
  <c r="P162" i="1"/>
  <c r="Q162" i="1" s="1"/>
  <c r="P310" i="1"/>
  <c r="Q310" i="1" s="1"/>
  <c r="P201" i="1"/>
  <c r="Q201" i="1" s="1"/>
  <c r="R201" i="1" s="1"/>
  <c r="P341" i="1"/>
  <c r="Q341" i="1" s="1"/>
  <c r="R341" i="1" s="1"/>
  <c r="P290" i="1"/>
  <c r="Q290" i="1" s="1"/>
  <c r="R290" i="1" s="1"/>
  <c r="P220" i="1"/>
  <c r="Q220" i="1" s="1"/>
  <c r="S220" i="1" s="1"/>
  <c r="P356" i="1"/>
  <c r="Q356" i="1" s="1"/>
  <c r="S356" i="1" s="1"/>
  <c r="P106" i="1"/>
  <c r="Q106" i="1" s="1"/>
  <c r="R106" i="1" s="1"/>
  <c r="P151" i="1"/>
  <c r="Q151" i="1" s="1"/>
  <c r="R151" i="1" s="1"/>
  <c r="P301" i="1"/>
  <c r="Q301" i="1" s="1"/>
  <c r="R301" i="1" s="1"/>
  <c r="P118" i="1"/>
  <c r="Q118" i="1" s="1"/>
  <c r="R118" i="1" s="1"/>
  <c r="P336" i="1"/>
  <c r="Q336" i="1" s="1"/>
  <c r="R336" i="1" s="1"/>
  <c r="P125" i="1"/>
  <c r="Q125" i="1" s="1"/>
  <c r="R125" i="1" s="1"/>
  <c r="P29" i="1"/>
  <c r="Q29" i="1" s="1"/>
  <c r="S29" i="1" s="1"/>
  <c r="P88" i="1"/>
  <c r="Q88" i="1" s="1"/>
  <c r="R88" i="1" s="1"/>
  <c r="P200" i="1"/>
  <c r="Q200" i="1" s="1"/>
  <c r="R200" i="1" s="1"/>
  <c r="P316" i="1"/>
  <c r="Q316" i="1" s="1"/>
  <c r="R316" i="1" s="1"/>
  <c r="P163" i="1"/>
  <c r="Q163" i="1" s="1"/>
  <c r="S163" i="1" s="1"/>
  <c r="P340" i="1"/>
  <c r="Q340" i="1" s="1"/>
  <c r="P268" i="1"/>
  <c r="Q268" i="1" s="1"/>
  <c r="R268" i="1" s="1"/>
  <c r="P199" i="1"/>
  <c r="Q199" i="1" s="1"/>
  <c r="P296" i="1"/>
  <c r="Q296" i="1" s="1"/>
  <c r="S296" i="1" s="1"/>
  <c r="P264" i="1"/>
  <c r="Q264" i="1" s="1"/>
  <c r="R264" i="1" s="1"/>
  <c r="P330" i="1"/>
  <c r="Q330" i="1" s="1"/>
  <c r="R330" i="1" s="1"/>
  <c r="P142" i="1"/>
  <c r="Q142" i="1" s="1"/>
  <c r="R142" i="1" s="1"/>
  <c r="P179" i="1"/>
  <c r="Q179" i="1" s="1"/>
  <c r="R179" i="1" s="1"/>
  <c r="P95" i="1"/>
  <c r="Q95" i="1" s="1"/>
  <c r="R95" i="1" s="1"/>
  <c r="P182" i="1"/>
  <c r="Q182" i="1" s="1"/>
  <c r="S182" i="1" s="1"/>
  <c r="P306" i="1"/>
  <c r="Q306" i="1" s="1"/>
  <c r="S306" i="1" s="1"/>
  <c r="P111" i="1"/>
  <c r="Q111" i="1" s="1"/>
  <c r="R111" i="1" s="1"/>
  <c r="P159" i="1"/>
  <c r="Q159" i="1" s="1"/>
  <c r="R159" i="1" s="1"/>
  <c r="P79" i="1"/>
  <c r="Q79" i="1" s="1"/>
  <c r="S79" i="1" s="1"/>
  <c r="P237" i="1"/>
  <c r="Q237" i="1" s="1"/>
  <c r="R237" i="1" s="1"/>
  <c r="P116" i="1"/>
  <c r="Q116" i="1" s="1"/>
  <c r="R116" i="1" s="1"/>
  <c r="P9" i="1"/>
  <c r="Q9" i="1" s="1"/>
  <c r="R9" i="1" s="1"/>
  <c r="P212" i="1"/>
  <c r="Q212" i="1" s="1"/>
  <c r="R212" i="1" s="1"/>
  <c r="P231" i="1"/>
  <c r="Q231" i="1" s="1"/>
  <c r="R231" i="1" s="1"/>
  <c r="P46" i="1"/>
  <c r="Q46" i="1" s="1"/>
  <c r="R46" i="1" s="1"/>
  <c r="P261" i="1"/>
  <c r="Q261" i="1" s="1"/>
  <c r="P143" i="1"/>
  <c r="Q143" i="1" s="1"/>
  <c r="P234" i="1"/>
  <c r="Q234" i="1" s="1"/>
  <c r="S234" i="1" s="1"/>
  <c r="P94" i="1"/>
  <c r="Q94" i="1" s="1"/>
  <c r="R94" i="1" s="1"/>
  <c r="P293" i="1"/>
  <c r="Q293" i="1" s="1"/>
  <c r="S293" i="1" s="1"/>
  <c r="P59" i="1"/>
  <c r="Q59" i="1" s="1"/>
  <c r="R59" i="1" s="1"/>
  <c r="P217" i="1"/>
  <c r="Q217" i="1" s="1"/>
  <c r="S217" i="1" s="1"/>
  <c r="P96" i="1"/>
  <c r="Q96" i="1" s="1"/>
  <c r="R96" i="1" s="1"/>
  <c r="P207" i="1"/>
  <c r="Q207" i="1" s="1"/>
  <c r="R207" i="1" s="1"/>
  <c r="P154" i="1"/>
  <c r="Q154" i="1" s="1"/>
  <c r="R154" i="1" s="1"/>
  <c r="P308" i="1"/>
  <c r="Q308" i="1" s="1"/>
  <c r="S308" i="1" s="1"/>
  <c r="P346" i="1"/>
  <c r="Q346" i="1" s="1"/>
  <c r="R346" i="1" s="1"/>
  <c r="P205" i="1"/>
  <c r="Q205" i="1" s="1"/>
  <c r="R205" i="1" s="1"/>
  <c r="P112" i="1"/>
  <c r="Q112" i="1" s="1"/>
  <c r="R112" i="1" s="1"/>
  <c r="P92" i="1"/>
  <c r="Q92" i="1" s="1"/>
  <c r="R92" i="1" s="1"/>
  <c r="P313" i="1"/>
  <c r="Q313" i="1" s="1"/>
  <c r="S313" i="1" s="1"/>
  <c r="P213" i="1"/>
  <c r="Q213" i="1" s="1"/>
  <c r="S213" i="1" s="1"/>
  <c r="P39" i="1"/>
  <c r="Q39" i="1" s="1"/>
  <c r="R39" i="1" s="1"/>
  <c r="P197" i="1"/>
  <c r="Q197" i="1" s="1"/>
  <c r="R197" i="1" s="1"/>
  <c r="P76" i="1"/>
  <c r="Q76" i="1" s="1"/>
  <c r="S76" i="1" s="1"/>
  <c r="P147" i="1"/>
  <c r="Q147" i="1" s="1"/>
  <c r="P12" i="1"/>
  <c r="Q12" i="1" s="1"/>
  <c r="R12" i="1" s="1"/>
  <c r="P254" i="1"/>
  <c r="Q254" i="1" s="1"/>
  <c r="P130" i="1"/>
  <c r="Q130" i="1" s="1"/>
  <c r="R130" i="1" s="1"/>
  <c r="P148" i="1"/>
  <c r="Q148" i="1" s="1"/>
  <c r="S148" i="1" s="1"/>
  <c r="P85" i="1"/>
  <c r="Q85" i="1" s="1"/>
  <c r="R85" i="1" s="1"/>
  <c r="P339" i="1"/>
  <c r="Q339" i="1" s="1"/>
  <c r="S339" i="1" s="1"/>
  <c r="P93" i="1"/>
  <c r="Q93" i="1" s="1"/>
  <c r="R93" i="1" s="1"/>
  <c r="P44" i="1"/>
  <c r="Q44" i="1" s="1"/>
  <c r="R44" i="1" s="1"/>
  <c r="P318" i="1"/>
  <c r="Q318" i="1" s="1"/>
  <c r="R318" i="1" s="1"/>
  <c r="P177" i="1"/>
  <c r="Q177" i="1" s="1"/>
  <c r="R177" i="1" s="1"/>
  <c r="P56" i="1"/>
  <c r="Q56" i="1" s="1"/>
  <c r="S56" i="1" s="1"/>
  <c r="P127" i="1"/>
  <c r="Q127" i="1" s="1"/>
  <c r="S127" i="1" s="1"/>
  <c r="P319" i="1"/>
  <c r="Q319" i="1" s="1"/>
  <c r="S319" i="1" s="1"/>
  <c r="P61" i="1"/>
  <c r="Q61" i="1" s="1"/>
  <c r="R61" i="1" s="1"/>
  <c r="P243" i="1"/>
  <c r="Q243" i="1" s="1"/>
  <c r="R243" i="1" s="1"/>
  <c r="P90" i="1"/>
  <c r="Q90" i="1" s="1"/>
  <c r="R90" i="1" s="1"/>
  <c r="P54" i="1"/>
  <c r="Q54" i="1" s="1"/>
  <c r="S54" i="1" s="1"/>
  <c r="P262" i="1"/>
  <c r="Q262" i="1" s="1"/>
  <c r="R262" i="1" s="1"/>
  <c r="P65" i="1"/>
  <c r="Q65" i="1" s="1"/>
  <c r="S65" i="1" s="1"/>
  <c r="P320" i="1"/>
  <c r="Q320" i="1" s="1"/>
  <c r="P298" i="1"/>
  <c r="Q298" i="1" s="1"/>
  <c r="P157" i="1"/>
  <c r="Q157" i="1" s="1"/>
  <c r="P16" i="1"/>
  <c r="Q16" i="1" s="1"/>
  <c r="R16" i="1" s="1"/>
  <c r="P107" i="1"/>
  <c r="Q107" i="1" s="1"/>
  <c r="R107" i="1" s="1"/>
  <c r="P241" i="1"/>
  <c r="Q241" i="1" s="1"/>
  <c r="P2" i="1"/>
  <c r="Q2" i="1" s="1"/>
  <c r="P291" i="1"/>
  <c r="Q291" i="1" s="1"/>
  <c r="R291" i="1" s="1"/>
  <c r="P333" i="1"/>
  <c r="Q333" i="1" s="1"/>
  <c r="S333" i="1" s="1"/>
  <c r="P28" i="1"/>
  <c r="Q28" i="1" s="1"/>
  <c r="R28" i="1" s="1"/>
  <c r="P174" i="1"/>
  <c r="Q174" i="1" s="1"/>
  <c r="S174" i="1" s="1"/>
  <c r="P149" i="1"/>
  <c r="Q149" i="1" s="1"/>
  <c r="R149" i="1" s="1"/>
  <c r="P101" i="1"/>
  <c r="Q101" i="1" s="1"/>
  <c r="S101" i="1" s="1"/>
  <c r="P42" i="1"/>
  <c r="Q42" i="1" s="1"/>
  <c r="S42" i="1" s="1"/>
  <c r="P104" i="1"/>
  <c r="Q104" i="1" s="1"/>
  <c r="R104" i="1" s="1"/>
  <c r="P329" i="1"/>
  <c r="Q329" i="1" s="1"/>
  <c r="R329" i="1" s="1"/>
  <c r="P304" i="1"/>
  <c r="Q304" i="1" s="1"/>
  <c r="R304" i="1" s="1"/>
  <c r="P351" i="1"/>
  <c r="Q351" i="1" s="1"/>
  <c r="R351" i="1" s="1"/>
  <c r="P354" i="1"/>
  <c r="Q354" i="1" s="1"/>
  <c r="R354" i="1" s="1"/>
  <c r="P244" i="1"/>
  <c r="Q244" i="1" s="1"/>
  <c r="R244" i="1" s="1"/>
  <c r="P281" i="1"/>
  <c r="Q281" i="1" s="1"/>
  <c r="S281" i="1" s="1"/>
  <c r="P280" i="1"/>
  <c r="Q280" i="1" s="1"/>
  <c r="R280" i="1" s="1"/>
  <c r="P327" i="1"/>
  <c r="Q327" i="1" s="1"/>
  <c r="R327" i="1" s="1"/>
  <c r="P84" i="1"/>
  <c r="Q84" i="1" s="1"/>
  <c r="R84" i="1" s="1"/>
  <c r="P52" i="1"/>
  <c r="Q52" i="1" s="1"/>
  <c r="R52" i="1" s="1"/>
  <c r="P249" i="1"/>
  <c r="Q249" i="1" s="1"/>
  <c r="R249" i="1" s="1"/>
  <c r="P53" i="1"/>
  <c r="Q53" i="1" s="1"/>
  <c r="R53" i="1" s="1"/>
  <c r="P25" i="1"/>
  <c r="Q25" i="1" s="1"/>
  <c r="S25" i="1" s="1"/>
  <c r="P224" i="1"/>
  <c r="Q224" i="1" s="1"/>
  <c r="S224" i="1" s="1"/>
  <c r="P66" i="1"/>
  <c r="Q66" i="1" s="1"/>
  <c r="S66" i="1" s="1"/>
  <c r="P26" i="1"/>
  <c r="Q26" i="1" s="1"/>
  <c r="S26" i="1" s="1"/>
  <c r="P23" i="1"/>
  <c r="Q23" i="1" s="1"/>
  <c r="S23" i="1" s="1"/>
  <c r="P193" i="1"/>
  <c r="Q193" i="1" s="1"/>
  <c r="S193" i="1" s="1"/>
  <c r="P187" i="1"/>
  <c r="Q187" i="1" s="1"/>
  <c r="S187" i="1" s="1"/>
  <c r="P214" i="1"/>
  <c r="Q214" i="1" s="1"/>
  <c r="R214" i="1" s="1"/>
  <c r="P34" i="1"/>
  <c r="Q34" i="1" s="1"/>
  <c r="R34" i="1" s="1"/>
  <c r="P80" i="1"/>
  <c r="Q80" i="1" s="1"/>
  <c r="R80" i="1" s="1"/>
  <c r="P263" i="1"/>
  <c r="Q263" i="1" s="1"/>
  <c r="S263" i="1" s="1"/>
  <c r="P332" i="1"/>
  <c r="Q332" i="1" s="1"/>
  <c r="S332" i="1" s="1"/>
  <c r="P49" i="1"/>
  <c r="Q49" i="1" s="1"/>
  <c r="S49" i="1" s="1"/>
  <c r="P33" i="1"/>
  <c r="Q33" i="1" s="1"/>
  <c r="R33" i="1" s="1"/>
  <c r="P190" i="1"/>
  <c r="Q190" i="1" s="1"/>
  <c r="R190" i="1" s="1"/>
  <c r="P326" i="1"/>
  <c r="Q326" i="1" s="1"/>
  <c r="R326" i="1" s="1"/>
  <c r="P303" i="1"/>
  <c r="Q303" i="1" s="1"/>
  <c r="R303" i="1" s="1"/>
  <c r="P258" i="1"/>
  <c r="Q258" i="1" s="1"/>
  <c r="R258" i="1" s="1"/>
  <c r="P137" i="1"/>
  <c r="Q137" i="1" s="1"/>
  <c r="R137" i="1" s="1"/>
  <c r="P36" i="1"/>
  <c r="Q36" i="1" s="1"/>
  <c r="S36" i="1" s="1"/>
  <c r="P167" i="1"/>
  <c r="Q167" i="1" s="1"/>
  <c r="R167" i="1" s="1"/>
  <c r="P161" i="1"/>
  <c r="Q161" i="1" s="1"/>
  <c r="S161" i="1" s="1"/>
  <c r="P311" i="1"/>
  <c r="Q311" i="1" s="1"/>
  <c r="R311" i="1" s="1"/>
  <c r="P300" i="1"/>
  <c r="Q300" i="1" s="1"/>
  <c r="R300" i="1" s="1"/>
  <c r="P208" i="1"/>
  <c r="Q208" i="1" s="1"/>
  <c r="S208" i="1" s="1"/>
  <c r="P114" i="1"/>
  <c r="Q114" i="1" s="1"/>
  <c r="R114" i="1" s="1"/>
  <c r="P246" i="1"/>
  <c r="Q246" i="1" s="1"/>
  <c r="R246" i="1" s="1"/>
  <c r="P286" i="1"/>
  <c r="Q286" i="1" s="1"/>
  <c r="R286" i="1" s="1"/>
  <c r="P131" i="1"/>
  <c r="Q131" i="1" s="1"/>
  <c r="R131" i="1" s="1"/>
  <c r="P223" i="1"/>
  <c r="Q223" i="1" s="1"/>
  <c r="S223" i="1" s="1"/>
  <c r="P274" i="1"/>
  <c r="Q274" i="1" s="1"/>
  <c r="R274" i="1" s="1"/>
  <c r="P166" i="1"/>
  <c r="Q166" i="1" s="1"/>
  <c r="S166" i="1" s="1"/>
  <c r="P4" i="1"/>
  <c r="Q4" i="1" s="1"/>
  <c r="R4" i="1" s="1"/>
  <c r="P170" i="1"/>
  <c r="Q170" i="1" s="1"/>
  <c r="R170" i="1" s="1"/>
  <c r="P71" i="1"/>
  <c r="Q71" i="1" s="1"/>
  <c r="S71" i="1" s="1"/>
  <c r="P305" i="1"/>
  <c r="Q305" i="1" s="1"/>
  <c r="R305" i="1" s="1"/>
  <c r="P312" i="1"/>
  <c r="Q312" i="1" s="1"/>
  <c r="R312" i="1" s="1"/>
  <c r="P348" i="1"/>
  <c r="Q348" i="1" s="1"/>
  <c r="R348" i="1" s="1"/>
  <c r="P140" i="1"/>
  <c r="Q140" i="1" s="1"/>
  <c r="S140" i="1" s="1"/>
  <c r="P13" i="1"/>
  <c r="Q13" i="1" s="1"/>
  <c r="R13" i="1" s="1"/>
  <c r="P14" i="1"/>
  <c r="Q14" i="1" s="1"/>
  <c r="R14" i="1" s="1"/>
  <c r="P110" i="1"/>
  <c r="Q110" i="1" s="1"/>
  <c r="S110" i="1" s="1"/>
  <c r="P128" i="1"/>
  <c r="Q128" i="1" s="1"/>
  <c r="S128" i="1" s="1"/>
  <c r="P145" i="1"/>
  <c r="Q145" i="1" s="1"/>
  <c r="R145" i="1" s="1"/>
  <c r="P211" i="1"/>
  <c r="Q211" i="1" s="1"/>
  <c r="R211" i="1" s="1"/>
  <c r="P81" i="1"/>
  <c r="Q81" i="1" s="1"/>
  <c r="R81" i="1" s="1"/>
  <c r="P172" i="1"/>
  <c r="Q172" i="1" s="1"/>
  <c r="S172" i="1" s="1"/>
  <c r="P5" i="1"/>
  <c r="Q5" i="1" s="1"/>
  <c r="R5" i="1" s="1"/>
  <c r="P43" i="1"/>
  <c r="Q43" i="1" s="1"/>
  <c r="R43" i="1" s="1"/>
  <c r="P113" i="1"/>
  <c r="Q113" i="1" s="1"/>
  <c r="R113" i="1" s="1"/>
  <c r="P233" i="1"/>
  <c r="Q233" i="1" s="1"/>
  <c r="S233" i="1" s="1"/>
  <c r="P292" i="1"/>
  <c r="Q292" i="1" s="1"/>
  <c r="R292" i="1" s="1"/>
  <c r="P27" i="1"/>
  <c r="Q27" i="1" s="1"/>
  <c r="S27" i="1" s="1"/>
  <c r="P195" i="1"/>
  <c r="Q195" i="1" s="1"/>
  <c r="R195" i="1" s="1"/>
  <c r="P236" i="1"/>
  <c r="Q236" i="1" s="1"/>
  <c r="R236" i="1" s="1"/>
  <c r="P277" i="1"/>
  <c r="Q277" i="1" s="1"/>
  <c r="S277" i="1" s="1"/>
  <c r="P338" i="1"/>
  <c r="Q338" i="1" s="1"/>
  <c r="R338" i="1" s="1"/>
  <c r="P24" i="1"/>
  <c r="Q24" i="1" s="1"/>
  <c r="R24" i="1" s="1"/>
  <c r="P188" i="1"/>
  <c r="Q188" i="1" s="1"/>
  <c r="S188" i="1" s="1"/>
  <c r="P141" i="1"/>
  <c r="Q141" i="1" s="1"/>
  <c r="R141" i="1" s="1"/>
  <c r="P129" i="1"/>
  <c r="Q129" i="1" s="1"/>
  <c r="S129" i="1" s="1"/>
  <c r="P31" i="1"/>
  <c r="Q31" i="1" s="1"/>
  <c r="S31" i="1" s="1"/>
  <c r="P266" i="1"/>
  <c r="Q266" i="1" s="1"/>
  <c r="R266" i="1" s="1"/>
  <c r="P165" i="1"/>
  <c r="Q165" i="1" s="1"/>
  <c r="R165" i="1" s="1"/>
  <c r="P203" i="1"/>
  <c r="Q203" i="1" s="1"/>
  <c r="S203" i="1" s="1"/>
  <c r="P91" i="1"/>
  <c r="Q91" i="1" s="1"/>
  <c r="R91" i="1" s="1"/>
  <c r="P185" i="1"/>
  <c r="Q185" i="1" s="1"/>
  <c r="R185" i="1" s="1"/>
  <c r="P144" i="1"/>
  <c r="Q144" i="1" s="1"/>
  <c r="R144" i="1" s="1"/>
  <c r="P288" i="1"/>
  <c r="Q288" i="1" s="1"/>
  <c r="R288" i="1" s="1"/>
  <c r="P160" i="1"/>
  <c r="Q160" i="1" s="1"/>
  <c r="S160" i="1" s="1"/>
  <c r="P47" i="1"/>
  <c r="Q47" i="1" s="1"/>
  <c r="R47" i="1" s="1"/>
  <c r="P215" i="1"/>
  <c r="Q215" i="1" s="1"/>
  <c r="S215" i="1" s="1"/>
  <c r="P256" i="1"/>
  <c r="Q256" i="1" s="1"/>
  <c r="R256" i="1" s="1"/>
  <c r="P297" i="1"/>
  <c r="Q297" i="1" s="1"/>
  <c r="S297" i="1" s="1"/>
  <c r="P358" i="1"/>
  <c r="Q358" i="1" s="1"/>
  <c r="S358" i="1" s="1"/>
  <c r="P51" i="1"/>
  <c r="Q51" i="1" s="1"/>
  <c r="S51" i="1" s="1"/>
  <c r="P294" i="1"/>
  <c r="Q294" i="1" s="1"/>
  <c r="R294" i="1" s="1"/>
  <c r="P168" i="1"/>
  <c r="Q168" i="1" s="1"/>
  <c r="R168" i="1" s="1"/>
  <c r="P345" i="1"/>
  <c r="Q345" i="1" s="1"/>
  <c r="R345" i="1" s="1"/>
  <c r="P146" i="1"/>
  <c r="Q146" i="1" s="1"/>
  <c r="S146" i="1" s="1"/>
  <c r="P70" i="1"/>
  <c r="Q70" i="1" s="1"/>
  <c r="S70" i="1" s="1"/>
  <c r="P248" i="1"/>
  <c r="Q248" i="1" s="1"/>
  <c r="R248" i="1" s="1"/>
  <c r="P229" i="1"/>
  <c r="Q229" i="1" s="1"/>
  <c r="S229" i="1" s="1"/>
  <c r="P122" i="1"/>
  <c r="Q122" i="1" s="1"/>
  <c r="S122" i="1" s="1"/>
  <c r="P267" i="1"/>
  <c r="Q267" i="1" s="1"/>
  <c r="S267" i="1" s="1"/>
  <c r="P171" i="1"/>
  <c r="Q171" i="1" s="1"/>
  <c r="S171" i="1" s="1"/>
  <c r="P8" i="1"/>
  <c r="Q8" i="1" s="1"/>
  <c r="R8" i="1" s="1"/>
  <c r="P321" i="1"/>
  <c r="Q321" i="1" s="1"/>
  <c r="R321" i="1" s="1"/>
  <c r="P67" i="1"/>
  <c r="Q67" i="1" s="1"/>
  <c r="S67" i="1" s="1"/>
  <c r="P235" i="1"/>
  <c r="Q235" i="1" s="1"/>
  <c r="R235" i="1" s="1"/>
  <c r="P276" i="1"/>
  <c r="Q276" i="1" s="1"/>
  <c r="R276" i="1" s="1"/>
  <c r="P317" i="1"/>
  <c r="Q317" i="1" s="1"/>
  <c r="R317" i="1" s="1"/>
  <c r="P19" i="1"/>
  <c r="Q19" i="1" s="1"/>
  <c r="R19" i="1" s="1"/>
  <c r="P82" i="1"/>
  <c r="Q82" i="1" s="1"/>
  <c r="S82" i="1" s="1"/>
  <c r="P73" i="1"/>
  <c r="Q73" i="1" s="1"/>
  <c r="S73" i="1" s="1"/>
  <c r="P194" i="1"/>
  <c r="Q194" i="1" s="1"/>
  <c r="S194" i="1" s="1"/>
  <c r="P103" i="1"/>
  <c r="Q103" i="1" s="1"/>
  <c r="S103" i="1" s="1"/>
  <c r="P204" i="1"/>
  <c r="Q204" i="1" s="1"/>
  <c r="S204" i="1" s="1"/>
  <c r="P242" i="1"/>
  <c r="Q242" i="1" s="1"/>
  <c r="R242" i="1" s="1"/>
  <c r="P350" i="1"/>
  <c r="Q350" i="1" s="1"/>
  <c r="R350" i="1" s="1"/>
  <c r="P284" i="1"/>
  <c r="Q284" i="1" s="1"/>
  <c r="R284" i="1" s="1"/>
  <c r="P180" i="1"/>
  <c r="Q180" i="1" s="1"/>
  <c r="R180" i="1" s="1"/>
  <c r="P102" i="1"/>
  <c r="Q102" i="1" s="1"/>
  <c r="S102" i="1" s="1"/>
  <c r="P202" i="1"/>
  <c r="Q202" i="1" s="1"/>
  <c r="S202" i="1" s="1"/>
  <c r="P124" i="1"/>
  <c r="Q124" i="1" s="1"/>
  <c r="S124" i="1" s="1"/>
  <c r="P45" i="1"/>
  <c r="Q45" i="1" s="1"/>
  <c r="R45" i="1" s="1"/>
  <c r="R238" i="1"/>
  <c r="S238" i="1"/>
  <c r="S37" i="1"/>
  <c r="R135" i="1"/>
  <c r="S135" i="1"/>
  <c r="R198" i="1"/>
  <c r="S198" i="1"/>
  <c r="R58" i="1"/>
  <c r="R278" i="1"/>
  <c r="S278" i="1"/>
  <c r="R62" i="1"/>
  <c r="S62" i="1"/>
  <c r="R184" i="1"/>
  <c r="S184" i="1"/>
  <c r="R83" i="1"/>
  <c r="S83" i="1"/>
  <c r="R38" i="1"/>
  <c r="R355" i="1"/>
  <c r="S355" i="1"/>
  <c r="R228" i="1"/>
  <c r="R109" i="1"/>
  <c r="S109" i="1"/>
  <c r="R298" i="1"/>
  <c r="S298" i="1"/>
  <c r="R337" i="1"/>
  <c r="S337" i="1"/>
  <c r="R331" i="1"/>
  <c r="S331" i="1"/>
  <c r="R69" i="1"/>
  <c r="S69" i="1"/>
  <c r="S156" i="1"/>
  <c r="R11" i="1"/>
  <c r="S11" i="1"/>
  <c r="R153" i="1"/>
  <c r="S153" i="1"/>
  <c r="R64" i="1"/>
  <c r="S64" i="1"/>
  <c r="S75" i="1"/>
  <c r="S106" i="1"/>
  <c r="R339" i="1"/>
  <c r="S280" i="1"/>
  <c r="S154" i="1"/>
  <c r="R222" i="1"/>
  <c r="S222" i="1"/>
  <c r="R261" i="1"/>
  <c r="S261" i="1"/>
  <c r="R7" i="1"/>
  <c r="S7" i="1"/>
  <c r="R307" i="1"/>
  <c r="S307" i="1"/>
  <c r="R199" i="1"/>
  <c r="S199" i="1"/>
  <c r="S283" i="1"/>
  <c r="R241" i="1"/>
  <c r="S241" i="1"/>
  <c r="S173" i="1"/>
  <c r="R310" i="1"/>
  <c r="S310" i="1"/>
  <c r="R138" i="1"/>
  <c r="R221" i="1"/>
  <c r="R254" i="1"/>
  <c r="S254" i="1"/>
  <c r="R234" i="1"/>
  <c r="R271" i="1"/>
  <c r="S271" i="1"/>
  <c r="R347" i="1"/>
  <c r="R245" i="1"/>
  <c r="S245" i="1"/>
  <c r="R299" i="1"/>
  <c r="S299" i="1"/>
  <c r="R269" i="1"/>
  <c r="S269" i="1"/>
  <c r="R218" i="1"/>
  <c r="S218" i="1"/>
  <c r="R97" i="1"/>
  <c r="S97" i="1"/>
  <c r="R143" i="1"/>
  <c r="S143" i="1"/>
  <c r="R121" i="1"/>
  <c r="S121" i="1"/>
  <c r="R340" i="1"/>
  <c r="S340" i="1"/>
  <c r="R289" i="1"/>
  <c r="S289" i="1"/>
  <c r="R320" i="1"/>
  <c r="S320" i="1"/>
  <c r="S268" i="1"/>
  <c r="R63" i="1"/>
  <c r="S63" i="1"/>
  <c r="R247" i="1"/>
  <c r="S247" i="1"/>
  <c r="R315" i="1"/>
  <c r="S315" i="1"/>
  <c r="S94" i="1"/>
  <c r="R178" i="1"/>
  <c r="S178" i="1"/>
  <c r="R181" i="1"/>
  <c r="R302" i="1"/>
  <c r="S302" i="1"/>
  <c r="R335" i="1"/>
  <c r="S335" i="1"/>
  <c r="R147" i="1"/>
  <c r="S147" i="1"/>
  <c r="R285" i="1"/>
  <c r="S285" i="1"/>
  <c r="R349" i="1"/>
  <c r="S349" i="1"/>
  <c r="R293" i="1"/>
  <c r="R352" i="1"/>
  <c r="S352" i="1"/>
  <c r="R32" i="1"/>
  <c r="S32" i="1"/>
  <c r="R189" i="1"/>
  <c r="S189" i="1"/>
  <c r="R230" i="1"/>
  <c r="S230" i="1"/>
  <c r="R357" i="1"/>
  <c r="S357" i="1"/>
  <c r="R74" i="1"/>
  <c r="S74" i="1"/>
  <c r="R157" i="1"/>
  <c r="S157" i="1"/>
  <c r="R77" i="1"/>
  <c r="S77" i="1"/>
  <c r="R117" i="1"/>
  <c r="S117" i="1"/>
  <c r="R162" i="1"/>
  <c r="S162" i="1"/>
  <c r="R2" i="1"/>
  <c r="S2" i="1"/>
  <c r="R251" i="1"/>
  <c r="S251" i="1"/>
  <c r="R275" i="1"/>
  <c r="R281" i="1"/>
  <c r="R87" i="1"/>
  <c r="S87" i="1"/>
  <c r="R308" i="1"/>
  <c r="S12" i="1"/>
  <c r="Q360" i="1" l="1"/>
  <c r="R227" i="1"/>
  <c r="S225" i="1"/>
  <c r="R152" i="1"/>
  <c r="S112" i="1"/>
  <c r="R50" i="1"/>
  <c r="S328" i="1"/>
  <c r="R40" i="1"/>
  <c r="S201" i="1"/>
  <c r="S132" i="1"/>
  <c r="S330" i="1"/>
  <c r="S116" i="1"/>
  <c r="R333" i="1"/>
  <c r="R29" i="1"/>
  <c r="S89" i="1"/>
  <c r="S290" i="1"/>
  <c r="R295" i="1"/>
  <c r="S207" i="1"/>
  <c r="S84" i="1"/>
  <c r="R60" i="1"/>
  <c r="S118" i="1"/>
  <c r="S105" i="1"/>
  <c r="S262" i="1"/>
  <c r="R186" i="1"/>
  <c r="R56" i="1"/>
  <c r="R169" i="1"/>
  <c r="S179" i="1"/>
  <c r="S212" i="1"/>
  <c r="S3" i="1"/>
  <c r="S149" i="1"/>
  <c r="S324" i="1"/>
  <c r="S44" i="1"/>
  <c r="R72" i="1"/>
  <c r="S232" i="1"/>
  <c r="S107" i="1"/>
  <c r="R356" i="1"/>
  <c r="R270" i="1"/>
  <c r="S155" i="1"/>
  <c r="S329" i="1"/>
  <c r="S41" i="1"/>
  <c r="S216" i="1"/>
  <c r="R20" i="1"/>
  <c r="S206" i="1"/>
  <c r="R325" i="1"/>
  <c r="R309" i="1"/>
  <c r="S255" i="1"/>
  <c r="S95" i="1"/>
  <c r="S318" i="1"/>
  <c r="S21" i="1"/>
  <c r="S139" i="1"/>
  <c r="S287" i="1"/>
  <c r="S322" i="1"/>
  <c r="R306" i="1"/>
  <c r="S100" i="1"/>
  <c r="S134" i="1"/>
  <c r="S342" i="1"/>
  <c r="R313" i="1"/>
  <c r="S252" i="1"/>
  <c r="R54" i="1"/>
  <c r="S323" i="1"/>
  <c r="R98" i="1"/>
  <c r="R174" i="1"/>
  <c r="S183" i="1"/>
  <c r="R127" i="1"/>
  <c r="R78" i="1"/>
  <c r="S104" i="1"/>
  <c r="S191" i="1"/>
  <c r="S246" i="1"/>
  <c r="S243" i="1"/>
  <c r="R182" i="1"/>
  <c r="R239" i="1"/>
  <c r="R314" i="1"/>
  <c r="R220" i="1"/>
  <c r="R217" i="1"/>
  <c r="S96" i="1"/>
  <c r="S226" i="1"/>
  <c r="S142" i="1"/>
  <c r="S237" i="1"/>
  <c r="S272" i="1"/>
  <c r="S90" i="1"/>
  <c r="S159" i="1"/>
  <c r="S48" i="1"/>
  <c r="S99" i="1"/>
  <c r="S59" i="1"/>
  <c r="S282" i="1"/>
  <c r="S164" i="1"/>
  <c r="S57" i="1"/>
  <c r="S43" i="1"/>
  <c r="S115" i="1"/>
  <c r="S111" i="1"/>
  <c r="R210" i="1"/>
  <c r="R213" i="1"/>
  <c r="S341" i="1"/>
  <c r="S125" i="1"/>
  <c r="R187" i="1"/>
  <c r="R253" i="1"/>
  <c r="S353" i="1"/>
  <c r="S61" i="1"/>
  <c r="R148" i="1"/>
  <c r="R296" i="1"/>
  <c r="S301" i="1"/>
  <c r="S316" i="1"/>
  <c r="R76" i="1"/>
  <c r="R163" i="1"/>
  <c r="R219" i="1"/>
  <c r="R240" i="1"/>
  <c r="R42" i="1"/>
  <c r="R175" i="1"/>
  <c r="R123" i="1"/>
  <c r="R176" i="1"/>
  <c r="R279" i="1"/>
  <c r="S68" i="1"/>
  <c r="S46" i="1"/>
  <c r="S250" i="1"/>
  <c r="R108" i="1"/>
  <c r="R18" i="1"/>
  <c r="R79" i="1"/>
  <c r="S304" i="1"/>
  <c r="S257" i="1"/>
  <c r="S130" i="1"/>
  <c r="S354" i="1"/>
  <c r="S120" i="1"/>
  <c r="S136" i="1"/>
  <c r="S259" i="1"/>
  <c r="S264" i="1"/>
  <c r="S343" i="1"/>
  <c r="S17" i="1"/>
  <c r="S133" i="1"/>
  <c r="S260" i="1"/>
  <c r="S214" i="1"/>
  <c r="S158" i="1"/>
  <c r="S55" i="1"/>
  <c r="S209" i="1"/>
  <c r="S92" i="1"/>
  <c r="R319" i="1"/>
  <c r="R126" i="1"/>
  <c r="S205" i="1"/>
  <c r="R86" i="1"/>
  <c r="R344" i="1"/>
  <c r="S192" i="1"/>
  <c r="S334" i="1"/>
  <c r="R101" i="1"/>
  <c r="S231" i="1"/>
  <c r="R65" i="1"/>
  <c r="S22" i="1"/>
  <c r="S196" i="1"/>
  <c r="S15" i="1"/>
  <c r="S265" i="1"/>
  <c r="S151" i="1"/>
  <c r="S119" i="1"/>
  <c r="S197" i="1"/>
  <c r="S346" i="1"/>
  <c r="S39" i="1"/>
  <c r="S85" i="1"/>
  <c r="S336" i="1"/>
  <c r="R332" i="1"/>
  <c r="S200" i="1"/>
  <c r="S9" i="1"/>
  <c r="S88" i="1"/>
  <c r="S273" i="1"/>
  <c r="S10" i="1"/>
  <c r="S28" i="1"/>
  <c r="S93" i="1"/>
  <c r="S30" i="1"/>
  <c r="S16" i="1"/>
  <c r="S6" i="1"/>
  <c r="S150" i="1"/>
  <c r="S244" i="1"/>
  <c r="S291" i="1"/>
  <c r="S35" i="1"/>
  <c r="S177" i="1"/>
  <c r="R26" i="1"/>
  <c r="S351" i="1"/>
  <c r="S249" i="1"/>
  <c r="S327" i="1"/>
  <c r="R66" i="1"/>
  <c r="S53" i="1"/>
  <c r="R25" i="1"/>
  <c r="R224" i="1"/>
  <c r="R202" i="1"/>
  <c r="S52" i="1"/>
  <c r="R166" i="1"/>
  <c r="R110" i="1"/>
  <c r="R193" i="1"/>
  <c r="R71" i="1"/>
  <c r="R263" i="1"/>
  <c r="R23" i="1"/>
  <c r="S170" i="1"/>
  <c r="S34" i="1"/>
  <c r="R223" i="1"/>
  <c r="S80" i="1"/>
  <c r="S286" i="1"/>
  <c r="S350" i="1"/>
  <c r="S13" i="1"/>
  <c r="S4" i="1"/>
  <c r="R49" i="1"/>
  <c r="S131" i="1"/>
  <c r="S276" i="1"/>
  <c r="S274" i="1"/>
  <c r="S190" i="1"/>
  <c r="R208" i="1"/>
  <c r="R140" i="1"/>
  <c r="S326" i="1"/>
  <c r="S137" i="1"/>
  <c r="R161" i="1"/>
  <c r="R128" i="1"/>
  <c r="R102" i="1"/>
  <c r="R146" i="1"/>
  <c r="S211" i="1"/>
  <c r="S348" i="1"/>
  <c r="R36" i="1"/>
  <c r="S258" i="1"/>
  <c r="R229" i="1"/>
  <c r="S180" i="1"/>
  <c r="S284" i="1"/>
  <c r="R124" i="1"/>
  <c r="S45" i="1"/>
  <c r="S300" i="1"/>
  <c r="R129" i="1"/>
  <c r="R122" i="1"/>
  <c r="R171" i="1"/>
  <c r="R70" i="1"/>
  <c r="S167" i="1"/>
  <c r="R267" i="1"/>
  <c r="S311" i="1"/>
  <c r="S33" i="1"/>
  <c r="S305" i="1"/>
  <c r="R73" i="1"/>
  <c r="S303" i="1"/>
  <c r="S114" i="1"/>
  <c r="R67" i="1"/>
  <c r="R203" i="1"/>
  <c r="S248" i="1"/>
  <c r="R172" i="1"/>
  <c r="S165" i="1"/>
  <c r="R233" i="1"/>
  <c r="S141" i="1"/>
  <c r="S312" i="1"/>
  <c r="S8" i="1"/>
  <c r="S266" i="1"/>
  <c r="S5" i="1"/>
  <c r="R31" i="1"/>
  <c r="S81" i="1"/>
  <c r="S14" i="1"/>
  <c r="S145" i="1"/>
  <c r="R103" i="1"/>
  <c r="S317" i="1"/>
  <c r="S113" i="1"/>
  <c r="R27" i="1"/>
  <c r="R194" i="1"/>
  <c r="S91" i="1"/>
  <c r="S321" i="1"/>
  <c r="R358" i="1"/>
  <c r="R160" i="1"/>
  <c r="S195" i="1"/>
  <c r="R51" i="1"/>
  <c r="R188" i="1"/>
  <c r="R277" i="1"/>
  <c r="S288" i="1"/>
  <c r="S294" i="1"/>
  <c r="S256" i="1"/>
  <c r="S292" i="1"/>
  <c r="S47" i="1"/>
  <c r="S19" i="1"/>
  <c r="S345" i="1"/>
  <c r="S338" i="1"/>
  <c r="R82" i="1"/>
  <c r="S236" i="1"/>
  <c r="S235" i="1"/>
  <c r="S24" i="1"/>
  <c r="S185" i="1"/>
  <c r="R215" i="1"/>
  <c r="R297" i="1"/>
  <c r="R204" i="1"/>
  <c r="S242" i="1"/>
  <c r="S168" i="1"/>
  <c r="S144" i="1"/>
</calcChain>
</file>

<file path=xl/sharedStrings.xml><?xml version="1.0" encoding="utf-8"?>
<sst xmlns="http://schemas.openxmlformats.org/spreadsheetml/2006/main" count="939" uniqueCount="464">
  <si>
    <t>fylkesnr</t>
  </si>
  <si>
    <t>fylkesnavn</t>
  </si>
  <si>
    <t>komm</t>
  </si>
  <si>
    <t>kommunenavn</t>
  </si>
  <si>
    <t>km_kurve</t>
  </si>
  <si>
    <t>rangeringKmKurve</t>
  </si>
  <si>
    <t>arealLand</t>
  </si>
  <si>
    <t>befolkning</t>
  </si>
  <si>
    <t>kmPerKm2</t>
  </si>
  <si>
    <t>rangeringKmPerAreal</t>
  </si>
  <si>
    <t>MeterPerPerson</t>
  </si>
  <si>
    <t>rangeringMeterPerPerson</t>
  </si>
  <si>
    <t>løst_nettverk</t>
  </si>
  <si>
    <t>km_kurve_post</t>
  </si>
  <si>
    <t>endring%</t>
  </si>
  <si>
    <t>Ber_tidbruk_minutter</t>
  </si>
  <si>
    <t>Timer</t>
  </si>
  <si>
    <t>Dagsverk</t>
  </si>
  <si>
    <t>Årsverk</t>
  </si>
  <si>
    <t>Finnmark</t>
  </si>
  <si>
    <t>Oslo</t>
  </si>
  <si>
    <t>Trøndelag</t>
  </si>
  <si>
    <t>Eigersund</t>
  </si>
  <si>
    <t>Buskerud</t>
  </si>
  <si>
    <t>Stavanger</t>
  </si>
  <si>
    <t>Innlandet</t>
  </si>
  <si>
    <t>Haugesund</t>
  </si>
  <si>
    <t>Sandnes</t>
  </si>
  <si>
    <t>Agder</t>
  </si>
  <si>
    <t>Sokndal</t>
  </si>
  <si>
    <t>Lund</t>
  </si>
  <si>
    <t>Bjerkreim</t>
  </si>
  <si>
    <t>Vestland</t>
  </si>
  <si>
    <t>Hå</t>
  </si>
  <si>
    <t>Klepp</t>
  </si>
  <si>
    <t>Time</t>
  </si>
  <si>
    <t>Gjesdal</t>
  </si>
  <si>
    <t>Sola</t>
  </si>
  <si>
    <t>Randaberg</t>
  </si>
  <si>
    <t>Telemark</t>
  </si>
  <si>
    <t>Strand</t>
  </si>
  <si>
    <t>Hjelmeland</t>
  </si>
  <si>
    <t>Suldal</t>
  </si>
  <si>
    <t>Sauda</t>
  </si>
  <si>
    <t>Troms</t>
  </si>
  <si>
    <t>Kvitsøy</t>
  </si>
  <si>
    <t>Bokn</t>
  </si>
  <si>
    <t>Tysvær</t>
  </si>
  <si>
    <t>Karmøy</t>
  </si>
  <si>
    <t>Utsira</t>
  </si>
  <si>
    <t>Vindafjord</t>
  </si>
  <si>
    <t>Kristiansund</t>
  </si>
  <si>
    <t>Molde</t>
  </si>
  <si>
    <t>Ålesund</t>
  </si>
  <si>
    <t>Vanylven</t>
  </si>
  <si>
    <t>Sande</t>
  </si>
  <si>
    <t>Herøy</t>
  </si>
  <si>
    <t>Ulstein</t>
  </si>
  <si>
    <t>Hareid</t>
  </si>
  <si>
    <t>Ørsta</t>
  </si>
  <si>
    <t>Vestfold</t>
  </si>
  <si>
    <t>Stranda</t>
  </si>
  <si>
    <t>Sykkylven</t>
  </si>
  <si>
    <t>Sula</t>
  </si>
  <si>
    <t>Giske</t>
  </si>
  <si>
    <t>Vestnes</t>
  </si>
  <si>
    <t>Rauma</t>
  </si>
  <si>
    <t>Aukra</t>
  </si>
  <si>
    <t>Averøy</t>
  </si>
  <si>
    <t>Gjemnes</t>
  </si>
  <si>
    <t>Tingvoll</t>
  </si>
  <si>
    <t>Sunndal</t>
  </si>
  <si>
    <t>Surnadal</t>
  </si>
  <si>
    <t>Nordland</t>
  </si>
  <si>
    <t>Smøla</t>
  </si>
  <si>
    <t>Aure</t>
  </si>
  <si>
    <t>Volda</t>
  </si>
  <si>
    <t>Fjord</t>
  </si>
  <si>
    <t>Hustadvika</t>
  </si>
  <si>
    <t>Haram</t>
  </si>
  <si>
    <t>Bodø</t>
  </si>
  <si>
    <t>Narvik</t>
  </si>
  <si>
    <t>Rogaland</t>
  </si>
  <si>
    <t>Bindal</t>
  </si>
  <si>
    <t>Akershus</t>
  </si>
  <si>
    <t>Sømna</t>
  </si>
  <si>
    <t>Brønnøy</t>
  </si>
  <si>
    <t>Vega</t>
  </si>
  <si>
    <t>Vevelstad</t>
  </si>
  <si>
    <t>Alstahaug</t>
  </si>
  <si>
    <t>Østfold</t>
  </si>
  <si>
    <t>Leirfjord</t>
  </si>
  <si>
    <t>Vefsn</t>
  </si>
  <si>
    <t>Grane</t>
  </si>
  <si>
    <t>Møre og Romsdal</t>
  </si>
  <si>
    <t>Aarborte - Hattfjelldal</t>
  </si>
  <si>
    <t>Dønna</t>
  </si>
  <si>
    <t>Nesna</t>
  </si>
  <si>
    <t>Hemnes</t>
  </si>
  <si>
    <t>Rana</t>
  </si>
  <si>
    <t>Lurøy</t>
  </si>
  <si>
    <t>Træna</t>
  </si>
  <si>
    <t>Rødøy</t>
  </si>
  <si>
    <t>Meløy</t>
  </si>
  <si>
    <t>Gildeskål</t>
  </si>
  <si>
    <t>Beiarn</t>
  </si>
  <si>
    <t>Saltdal</t>
  </si>
  <si>
    <t>Fauske - Fuossko</t>
  </si>
  <si>
    <t>Sørfold</t>
  </si>
  <si>
    <t>Steigen</t>
  </si>
  <si>
    <t>Lødingen</t>
  </si>
  <si>
    <t>Evenes - Evenášši</t>
  </si>
  <si>
    <t>Røst</t>
  </si>
  <si>
    <t>Værøy</t>
  </si>
  <si>
    <t>Flakstad</t>
  </si>
  <si>
    <t>Vestvågøy</t>
  </si>
  <si>
    <t>Vågan</t>
  </si>
  <si>
    <t>Hadsel</t>
  </si>
  <si>
    <t>Bø</t>
  </si>
  <si>
    <t>Øksnes</t>
  </si>
  <si>
    <t>Sortland - Suortá</t>
  </si>
  <si>
    <t>Andøy</t>
  </si>
  <si>
    <t>Moskenes</t>
  </si>
  <si>
    <t>Hábmer - Hamarøy</t>
  </si>
  <si>
    <t>Halden</t>
  </si>
  <si>
    <t>Moss</t>
  </si>
  <si>
    <t>Sarpsborg</t>
  </si>
  <si>
    <t>Fredrikstad</t>
  </si>
  <si>
    <t>Hvaler</t>
  </si>
  <si>
    <t>Råde</t>
  </si>
  <si>
    <t>Våler</t>
  </si>
  <si>
    <t>Skiptvet</t>
  </si>
  <si>
    <t>Indre Østfold</t>
  </si>
  <si>
    <t>Rakkestad</t>
  </si>
  <si>
    <t>Marker</t>
  </si>
  <si>
    <t>Aremark</t>
  </si>
  <si>
    <t>Bærum</t>
  </si>
  <si>
    <t>Asker</t>
  </si>
  <si>
    <t>Lillestrøm</t>
  </si>
  <si>
    <t>Nordre Follo</t>
  </si>
  <si>
    <t>Ullensaker</t>
  </si>
  <si>
    <t>Nesodden</t>
  </si>
  <si>
    <t>Frogn</t>
  </si>
  <si>
    <t>Vestby</t>
  </si>
  <si>
    <t>Ås</t>
  </si>
  <si>
    <t>Enebakk</t>
  </si>
  <si>
    <t>Lørenskog</t>
  </si>
  <si>
    <t>Rælingen</t>
  </si>
  <si>
    <t>Aurskog-Høland</t>
  </si>
  <si>
    <t>Nes</t>
  </si>
  <si>
    <t>Gjerdrum</t>
  </si>
  <si>
    <t>Nittedal</t>
  </si>
  <si>
    <t>Lunner</t>
  </si>
  <si>
    <t>Jevnaker</t>
  </si>
  <si>
    <t>Nannestad</t>
  </si>
  <si>
    <t>Eidsvoll</t>
  </si>
  <si>
    <t>Hurdal</t>
  </si>
  <si>
    <t>Drammen</t>
  </si>
  <si>
    <t>Kongsberg</t>
  </si>
  <si>
    <t>Ringerike</t>
  </si>
  <si>
    <t>Hole</t>
  </si>
  <si>
    <t>Lier</t>
  </si>
  <si>
    <t>Øvre Eiker</t>
  </si>
  <si>
    <t>Modum</t>
  </si>
  <si>
    <t>Krødsherad</t>
  </si>
  <si>
    <t>Flå</t>
  </si>
  <si>
    <t>Nesbyen</t>
  </si>
  <si>
    <t>Gol</t>
  </si>
  <si>
    <t>Hemsedal</t>
  </si>
  <si>
    <t>Ål</t>
  </si>
  <si>
    <t>Hol</t>
  </si>
  <si>
    <t>Sigdal</t>
  </si>
  <si>
    <t>Flesberg</t>
  </si>
  <si>
    <t>Rollag</t>
  </si>
  <si>
    <t>Nore og Uvdal</t>
  </si>
  <si>
    <t>Kongsvinger</t>
  </si>
  <si>
    <t>Hamar</t>
  </si>
  <si>
    <t>Lillehammer</t>
  </si>
  <si>
    <t>Gjøvik</t>
  </si>
  <si>
    <t>Ringsaker</t>
  </si>
  <si>
    <t>Løten</t>
  </si>
  <si>
    <t>Stange</t>
  </si>
  <si>
    <t>Nord-Odal</t>
  </si>
  <si>
    <t>Sør-Odal</t>
  </si>
  <si>
    <t>Eidskog</t>
  </si>
  <si>
    <t>Grue</t>
  </si>
  <si>
    <t>Åsnes</t>
  </si>
  <si>
    <t>Elverum</t>
  </si>
  <si>
    <t>Trysil</t>
  </si>
  <si>
    <t>Åmot</t>
  </si>
  <si>
    <t>Stor-Elvdal</t>
  </si>
  <si>
    <t>Rendalen</t>
  </si>
  <si>
    <t>Engerdal</t>
  </si>
  <si>
    <t>Tolga</t>
  </si>
  <si>
    <t>Tynset</t>
  </si>
  <si>
    <t>Alvdal</t>
  </si>
  <si>
    <t>Folldal</t>
  </si>
  <si>
    <t>Os</t>
  </si>
  <si>
    <t>Dovre</t>
  </si>
  <si>
    <t>Lesja</t>
  </si>
  <si>
    <t>Skjåk</t>
  </si>
  <si>
    <t>Lom</t>
  </si>
  <si>
    <t>Vågå</t>
  </si>
  <si>
    <t>Nord-Fron</t>
  </si>
  <si>
    <t>Sel</t>
  </si>
  <si>
    <t>Sør-Fron</t>
  </si>
  <si>
    <t>Ringebu</t>
  </si>
  <si>
    <t>Øyer</t>
  </si>
  <si>
    <t>Gausdal</t>
  </si>
  <si>
    <t>Østre Toten</t>
  </si>
  <si>
    <t>Vestre Toten</t>
  </si>
  <si>
    <t>Gran</t>
  </si>
  <si>
    <t>Søndre Land</t>
  </si>
  <si>
    <t>Nordre Land</t>
  </si>
  <si>
    <t>Sør-Aurdal</t>
  </si>
  <si>
    <t>Etnedal</t>
  </si>
  <si>
    <t>Nord-Aurdal</t>
  </si>
  <si>
    <t>Vestre Slidre</t>
  </si>
  <si>
    <t>Øystre Slidre</t>
  </si>
  <si>
    <t>Vang</t>
  </si>
  <si>
    <t>Horten</t>
  </si>
  <si>
    <t>Holmestrand</t>
  </si>
  <si>
    <t>Tønsberg</t>
  </si>
  <si>
    <t>Sandefjord</t>
  </si>
  <si>
    <t>Larvik</t>
  </si>
  <si>
    <t>Færder</t>
  </si>
  <si>
    <t>Porsgrunn</t>
  </si>
  <si>
    <t>Skien</t>
  </si>
  <si>
    <t>Notodden</t>
  </si>
  <si>
    <t>Siljan</t>
  </si>
  <si>
    <t>Bamble</t>
  </si>
  <si>
    <t>Kragerø</t>
  </si>
  <si>
    <t>Drangedal</t>
  </si>
  <si>
    <t>Nome</t>
  </si>
  <si>
    <t>Midt-Telemark</t>
  </si>
  <si>
    <t>Seljord</t>
  </si>
  <si>
    <t>Hjartdal</t>
  </si>
  <si>
    <t>Tinn</t>
  </si>
  <si>
    <t>Kviteseid</t>
  </si>
  <si>
    <t>Nissedal</t>
  </si>
  <si>
    <t>Fyresdal</t>
  </si>
  <si>
    <t>Tokke</t>
  </si>
  <si>
    <t>Vinje</t>
  </si>
  <si>
    <t>Risør</t>
  </si>
  <si>
    <t>Grimstad</t>
  </si>
  <si>
    <t>Arendal</t>
  </si>
  <si>
    <t>Kristiansand</t>
  </si>
  <si>
    <t>Lindesnes</t>
  </si>
  <si>
    <t>Farsund</t>
  </si>
  <si>
    <t>Flekkefjord</t>
  </si>
  <si>
    <t>Gjerstad</t>
  </si>
  <si>
    <t>Vegårshei</t>
  </si>
  <si>
    <t>Tvedestrand</t>
  </si>
  <si>
    <t>Froland</t>
  </si>
  <si>
    <t>Lillesand</t>
  </si>
  <si>
    <t>Birkenes</t>
  </si>
  <si>
    <t>Åmli</t>
  </si>
  <si>
    <t>Iveland</t>
  </si>
  <si>
    <t>Evje og Hornnes</t>
  </si>
  <si>
    <t>Bygland</t>
  </si>
  <si>
    <t>Valle</t>
  </si>
  <si>
    <t>Bykle</t>
  </si>
  <si>
    <t>Vennesla</t>
  </si>
  <si>
    <t>Åseral</t>
  </si>
  <si>
    <t>Lyngdal</t>
  </si>
  <si>
    <t>Hægebostad</t>
  </si>
  <si>
    <t>Kvinesdal</t>
  </si>
  <si>
    <t>Sirdal</t>
  </si>
  <si>
    <t>Bergen</t>
  </si>
  <si>
    <t>Kinn</t>
  </si>
  <si>
    <t>Etne</t>
  </si>
  <si>
    <t>Sveio</t>
  </si>
  <si>
    <t>Bømlo</t>
  </si>
  <si>
    <t>Stord</t>
  </si>
  <si>
    <t>Fitjar</t>
  </si>
  <si>
    <t>Tysnes</t>
  </si>
  <si>
    <t>Kvinnherad</t>
  </si>
  <si>
    <t>Ullensvang</t>
  </si>
  <si>
    <t>Eidfjord</t>
  </si>
  <si>
    <t>Ulvik</t>
  </si>
  <si>
    <t>Voss</t>
  </si>
  <si>
    <t>Kvam</t>
  </si>
  <si>
    <t>Samnanger</t>
  </si>
  <si>
    <t>Bjørnafjorden</t>
  </si>
  <si>
    <t>Austevoll</t>
  </si>
  <si>
    <t>Øygarden</t>
  </si>
  <si>
    <t>Askøy</t>
  </si>
  <si>
    <t>Vaksdal</t>
  </si>
  <si>
    <t>Modalen</t>
  </si>
  <si>
    <t>Osterøy</t>
  </si>
  <si>
    <t>Alver</t>
  </si>
  <si>
    <t>Austrheim</t>
  </si>
  <si>
    <t>Fedje</t>
  </si>
  <si>
    <t>Masfjorden</t>
  </si>
  <si>
    <t>Gulen</t>
  </si>
  <si>
    <t>Solund</t>
  </si>
  <si>
    <t>Hyllestad</t>
  </si>
  <si>
    <t>Høyanger</t>
  </si>
  <si>
    <t>Vik</t>
  </si>
  <si>
    <t>Sogndal</t>
  </si>
  <si>
    <t>Aurland</t>
  </si>
  <si>
    <t>Lærdal</t>
  </si>
  <si>
    <t>Årdal</t>
  </si>
  <si>
    <t>Luster</t>
  </si>
  <si>
    <t>Askvoll</t>
  </si>
  <si>
    <t>Fjaler</t>
  </si>
  <si>
    <t>Sunnfjord</t>
  </si>
  <si>
    <t>Bremanger</t>
  </si>
  <si>
    <t>Stad</t>
  </si>
  <si>
    <t>Gloppen</t>
  </si>
  <si>
    <t>Stryn</t>
  </si>
  <si>
    <t>Trondheim - Tråante</t>
  </si>
  <si>
    <t>Steinkjer</t>
  </si>
  <si>
    <t>Namsos - Nåavmesjenjaelmie</t>
  </si>
  <si>
    <t>Frøya</t>
  </si>
  <si>
    <t>Osen</t>
  </si>
  <si>
    <t>Oppdal</t>
  </si>
  <si>
    <t>Rennebu</t>
  </si>
  <si>
    <t>Rosse - Røros</t>
  </si>
  <si>
    <t>Holtålen</t>
  </si>
  <si>
    <t>Midtre Gauldal</t>
  </si>
  <si>
    <t>Melhus</t>
  </si>
  <si>
    <t>Skaun</t>
  </si>
  <si>
    <t>Malvik</t>
  </si>
  <si>
    <t>Selbu</t>
  </si>
  <si>
    <t>Tydal</t>
  </si>
  <si>
    <t>Meråker</t>
  </si>
  <si>
    <t>Stjørdal</t>
  </si>
  <si>
    <t>Frosta</t>
  </si>
  <si>
    <t>Levanger</t>
  </si>
  <si>
    <t>Verdal</t>
  </si>
  <si>
    <t>Snåase - Snåsa</t>
  </si>
  <si>
    <t>Lierne</t>
  </si>
  <si>
    <t>Raarvihke - Røyrvik</t>
  </si>
  <si>
    <t>Namsskogan</t>
  </si>
  <si>
    <t>Grong</t>
  </si>
  <si>
    <t>Høylandet</t>
  </si>
  <si>
    <t>Overhalla</t>
  </si>
  <si>
    <t>Flatanger</t>
  </si>
  <si>
    <t>Leka</t>
  </si>
  <si>
    <t>Inderøy</t>
  </si>
  <si>
    <t>Indre Fosen</t>
  </si>
  <si>
    <t>Heim</t>
  </si>
  <si>
    <t>Hitra</t>
  </si>
  <si>
    <t>Ørland</t>
  </si>
  <si>
    <t>Åfjord</t>
  </si>
  <si>
    <t>Orkland</t>
  </si>
  <si>
    <t>Nærøysund</t>
  </si>
  <si>
    <t>Rindal</t>
  </si>
  <si>
    <t>Tromsø</t>
  </si>
  <si>
    <t>Harstad - Hárstták</t>
  </si>
  <si>
    <t>Kvæfjord</t>
  </si>
  <si>
    <t>Dielddanuorri - Tjeldsund</t>
  </si>
  <si>
    <t>Ibestad</t>
  </si>
  <si>
    <t>Gratangen</t>
  </si>
  <si>
    <t>Loabák - Lavangen</t>
  </si>
  <si>
    <t>Bardu</t>
  </si>
  <si>
    <t>Salangen</t>
  </si>
  <si>
    <t>Målselv</t>
  </si>
  <si>
    <t>Sørreisa</t>
  </si>
  <si>
    <t>Dyrøy</t>
  </si>
  <si>
    <t>Senja</t>
  </si>
  <si>
    <t>Balsfjord</t>
  </si>
  <si>
    <t>Karlsøy</t>
  </si>
  <si>
    <t>Lyngen</t>
  </si>
  <si>
    <t>Storfjord - Omasvuotna - Omasvuono</t>
  </si>
  <si>
    <t>Gáivuotna - Kåfjord - Kaivuono</t>
  </si>
  <si>
    <t>Skjervøy</t>
  </si>
  <si>
    <t>Nordreisa - Ráisa - Raisi</t>
  </si>
  <si>
    <t>Kvænangen</t>
  </si>
  <si>
    <t>Alta</t>
  </si>
  <si>
    <t>Hammerfest - Hámmerfeasta</t>
  </si>
  <si>
    <t>Sør-Varanger</t>
  </si>
  <si>
    <t>Vadsø</t>
  </si>
  <si>
    <t>Kárášjohka - Karasjok</t>
  </si>
  <si>
    <t>Guovdageaidnu - Kautokeino</t>
  </si>
  <si>
    <t>Loppa</t>
  </si>
  <si>
    <t>Hasvik</t>
  </si>
  <si>
    <t>Måsøy</t>
  </si>
  <si>
    <t>Nordkapp</t>
  </si>
  <si>
    <t>Porsanger - Porsáŋgu - Porsanki</t>
  </si>
  <si>
    <t>Lebesby</t>
  </si>
  <si>
    <t>Gamvik</t>
  </si>
  <si>
    <t>Deatnu - Tana</t>
  </si>
  <si>
    <t>Berlevåg</t>
  </si>
  <si>
    <t>Båtsfjord</t>
  </si>
  <si>
    <t>Vardø</t>
  </si>
  <si>
    <t>Unjárga - Nesseby</t>
  </si>
  <si>
    <t>Gjennomsnitt timer</t>
  </si>
  <si>
    <t>R_KART</t>
  </si>
  <si>
    <t>OBJTYPE</t>
  </si>
  <si>
    <t>MIN</t>
  </si>
  <si>
    <t>LENGTH</t>
  </si>
  <si>
    <t>KM</t>
  </si>
  <si>
    <t>MIN/KM</t>
  </si>
  <si>
    <t>MIN/KM2</t>
  </si>
  <si>
    <t>kortnavn</t>
  </si>
  <si>
    <t>Gjennomsnitt minutt per km lenke</t>
  </si>
  <si>
    <t>32-5-518-227-10</t>
  </si>
  <si>
    <t>Kartblad</t>
  </si>
  <si>
    <t>hvajen</t>
  </si>
  <si>
    <t>Grunnpakke landareal minutt per km2</t>
  </si>
  <si>
    <t>32-5-519-227-00</t>
  </si>
  <si>
    <t>32-5-520-227-00</t>
  </si>
  <si>
    <t>32-5-520-227-10</t>
  </si>
  <si>
    <t>32-5-521-227-00</t>
  </si>
  <si>
    <t>32-5-521-227-10</t>
  </si>
  <si>
    <t>32-5-519-227-11</t>
  </si>
  <si>
    <t>32-5-519-228-10</t>
  </si>
  <si>
    <t>32-5-519-229-10</t>
  </si>
  <si>
    <t>32-5-519-229-11</t>
  </si>
  <si>
    <t>32-5-519-230-10</t>
  </si>
  <si>
    <t>32-5-519-231-11</t>
  </si>
  <si>
    <t>32-5-519-232-11</t>
  </si>
  <si>
    <t>32-5-519-233-10</t>
  </si>
  <si>
    <t>32-5-519-233-11</t>
  </si>
  <si>
    <t>32-5-518-226-01</t>
  </si>
  <si>
    <t>32-5-518-226-11</t>
  </si>
  <si>
    <t>32-5-519-226-11</t>
  </si>
  <si>
    <t>32-5-520-226-01</t>
  </si>
  <si>
    <t>32-5-520-226-11</t>
  </si>
  <si>
    <t>32-5-514-231-10</t>
  </si>
  <si>
    <t>32-5-515-231-00</t>
  </si>
  <si>
    <t>32-5-514-230-11</t>
  </si>
  <si>
    <t>32-5-515-230-01</t>
  </si>
  <si>
    <t>32-5-514-229-10</t>
  </si>
  <si>
    <t>32-5-515-231-11</t>
  </si>
  <si>
    <t>32-5-522-228-00</t>
  </si>
  <si>
    <t>32-5-522-227-01</t>
  </si>
  <si>
    <t>32-5-521-229-10</t>
  </si>
  <si>
    <t>32-5-521-228-11</t>
  </si>
  <si>
    <t>32-5-521-228-10</t>
  </si>
  <si>
    <t>32-5-521-227-11</t>
  </si>
  <si>
    <t>32-5-521-227-01</t>
  </si>
  <si>
    <t>32-5-521-228-00</t>
  </si>
  <si>
    <t>32-5-521-228-01</t>
  </si>
  <si>
    <t>32-5-521-229-00</t>
  </si>
  <si>
    <t>32-5-520-229-10</t>
  </si>
  <si>
    <t>32-5-520-228-11</t>
  </si>
  <si>
    <t>32-5-520-228-10</t>
  </si>
  <si>
    <t>32-5-520-227-11</t>
  </si>
  <si>
    <t>32-5-520-227-01</t>
  </si>
  <si>
    <t>32-5-520-228-00</t>
  </si>
  <si>
    <t>32-5-519-229-01</t>
  </si>
  <si>
    <t>32-5-518-229-11</t>
  </si>
  <si>
    <t>32-5-518-228-00</t>
  </si>
  <si>
    <t>32-5-518-227-11</t>
  </si>
  <si>
    <t>32-5-518-229-10</t>
  </si>
  <si>
    <t>32-5-529-143-01</t>
  </si>
  <si>
    <t>hoiani</t>
  </si>
  <si>
    <t>32-5-528-143-11</t>
  </si>
  <si>
    <t>32-5-528-143-01</t>
  </si>
  <si>
    <t>32-5-527-143-11</t>
  </si>
  <si>
    <t>32-5-527-143-01</t>
  </si>
  <si>
    <t>32-5-526-143-11</t>
  </si>
  <si>
    <t>32-5-526-143-01</t>
  </si>
  <si>
    <t>32-5-526-141-00</t>
  </si>
  <si>
    <t>32-5-526-140-11</t>
  </si>
  <si>
    <t>32-5-525-143-11</t>
  </si>
  <si>
    <t>32-5-525-141-10</t>
  </si>
  <si>
    <t>Verdier</t>
  </si>
  <si>
    <t>Summer av Dagsverk</t>
  </si>
  <si>
    <t>Summer av Årsverk</t>
  </si>
  <si>
    <t>Totalsum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</si>
</sst>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1" fillId="2" borderId="1" xfId="1"/>
    <xf numFmtId="0" fontId="0" fillId="0" borderId="0" xfId="0" applyAlignment="1">
      <alignment vertical="center" wrapText="1"/>
    </xf>
    <xf numFmtId="0" fontId="2" fillId="0" borderId="0" xfId="0" applyFont="1"/>
    <xf numFmtId="1" fontId="1" fillId="2" borderId="1" xfId="1" applyNumberFormat="1"/>
    <xf numFmtId="164" fontId="1" fillId="2" borderId="1" xfId="1" applyNumberFormat="1"/>
    <xf numFmtId="0" fontId="0" fillId="0" borderId="0" xfId="0" pivotButton="1"/>
  </cellXfs>
  <cellStyles count="2">
    <cellStyle name="Beregning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2573431</xdr:colOff>
      <xdr:row>6</xdr:row>
      <xdr:rowOff>153521</xdr:rowOff>
    </xdr:from>
    <xdr:to>
      <xdr:col>13</xdr:col>
      <xdr:colOff>405653</xdr:colOff>
      <xdr:row>24</xdr:row>
      <xdr:rowOff>58271</xdr:rowOff>
    </xdr:to>
    <xdr:sp macro="" textlink="">
      <xdr:nvSpPr>
        <xdr:cNvPr id="10" name="TekstSylinder 1">
          <a:extLst>
            <a:ext uri="{FF2B5EF4-FFF2-40B4-BE49-F238E27FC236}">
              <a16:creationId xmlns:a16="http://schemas.microsoft.com/office/drawing/2014/main" id="{6C74675E-4BD9-6BB3-CFCC-F4E859A59826}"/>
            </a:ext>
          </a:extLst>
        </xdr:cNvPr>
        <xdr:cNvSpPr txBox="1"/>
      </xdr:nvSpPr>
      <xdr:spPr>
        <a:xfrm>
          <a:off x="8938372" y="1823197"/>
          <a:ext cx="15358222" cy="3333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2000" b="1"/>
            <a:t>Redgjørelse</a:t>
          </a:r>
          <a:r>
            <a:rPr lang="nb-NO" sz="2000" b="1" baseline="0"/>
            <a:t> for beregning</a:t>
          </a:r>
        </a:p>
        <a:p>
          <a:endParaRPr lang="nb-NO" sz="1100" baseline="0"/>
        </a:p>
        <a:p>
          <a:r>
            <a:rPr lang="nb-NO" sz="1100"/>
            <a:t>I beregningen</a:t>
          </a:r>
          <a:r>
            <a:rPr lang="nb-NO" sz="1100" baseline="0"/>
            <a:t> styres tidbruk av mengden data i kommunen og antall km2 landareal. </a:t>
          </a:r>
          <a:endParaRPr lang="nb-NO" sz="1100"/>
        </a:p>
        <a:p>
          <a:endParaRPr lang="nb-NO" sz="1100"/>
        </a:p>
        <a:p>
          <a:r>
            <a:rPr lang="nb-NO" sz="1100"/>
            <a:t>Gjennomsnitt minutt per km:</a:t>
          </a:r>
          <a:r>
            <a:rPr lang="nb-NO" sz="1100" baseline="0"/>
            <a:t> Basert på målinger av tidbruk per rute gjort i reelt arbeid.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b-N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Grunnpakke landareal: Faktor som angir antall minutter  per km2 - bruker får 5 min per rute for å kompensere for andre faktorer som påvirker tidbruk</a:t>
          </a:r>
          <a:endParaRPr lang="nb-NO">
            <a:effectLst/>
          </a:endParaRPr>
        </a:p>
        <a:p>
          <a:endParaRPr lang="nb-NO" sz="1100" baseline="0"/>
        </a:p>
        <a:p>
          <a:endParaRPr lang="nb-NO" sz="1100" baseline="0"/>
        </a:p>
        <a:p>
          <a:r>
            <a:rPr lang="nb-NO" sz="1100"/>
            <a:t>Antall minutter per km</a:t>
          </a:r>
          <a:r>
            <a:rPr lang="nb-NO" sz="1100" baseline="0"/>
            <a:t> er laget ved å summere antall km per rute målt med tidbruk. Deretter antall minutter per km. Så regnestykket blir: </a:t>
          </a:r>
        </a:p>
        <a:p>
          <a:endParaRPr lang="nb-NO" sz="1100" baseline="0"/>
        </a:p>
        <a:p>
          <a:r>
            <a:rPr lang="nb-NO" sz="2000"/>
            <a:t>(Antall km kurve TvSti i kommune * minutt per km) + (Landareal kommune * Grunnpakke landareal minutt per km2) = estimat tidbruk kvalitetsheving</a:t>
          </a:r>
        </a:p>
      </xdr:txBody>
    </xdr:sp>
    <xdr:clientData/>
  </xdr:twoCellAnchor>
  <xdr:twoCellAnchor editAs="oneCell">
    <xdr:from>
      <xdr:col>8</xdr:col>
      <xdr:colOff>2038</xdr:colOff>
      <xdr:row>27</xdr:row>
      <xdr:rowOff>171145</xdr:rowOff>
    </xdr:from>
    <xdr:to>
      <xdr:col>13</xdr:col>
      <xdr:colOff>1877757</xdr:colOff>
      <xdr:row>76</xdr:row>
      <xdr:rowOff>29553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6B8CBEC4-1EFF-DCD1-9B34-923D833AB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4332" y="5841321"/>
          <a:ext cx="16824366" cy="919290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s Kristian Hvalgård" refreshedDate="45952.399607523148" createdVersion="8" refreshedVersion="8" minRefreshableVersion="3" recordCount="357" xr:uid="{D6E87656-734C-455E-8F05-5D53AE163A5E}">
  <cacheSource type="worksheet">
    <worksheetSource ref="A1:S358" sheet="Data"/>
  </cacheSource>
  <cacheFields count="19">
    <cacheField name="fylkesnr" numFmtId="0">
      <sharedItems containsSemiMixedTypes="0" containsString="0" containsNumber="1" containsInteger="1" minValue="3" maxValue="56" count="15">
        <n v="56"/>
        <n v="50"/>
        <n v="33"/>
        <n v="34"/>
        <n v="42"/>
        <n v="46"/>
        <n v="40"/>
        <n v="55"/>
        <n v="39"/>
        <n v="18"/>
        <n v="3"/>
        <n v="11"/>
        <n v="32"/>
        <n v="31"/>
        <n v="15"/>
      </sharedItems>
    </cacheField>
    <cacheField name="fylkesnavn" numFmtId="0">
      <sharedItems count="15">
        <s v="Finnmark"/>
        <s v="Trøndelag"/>
        <s v="Buskerud"/>
        <s v="Innlandet"/>
        <s v="Agder"/>
        <s v="Vestland"/>
        <s v="Telemark"/>
        <s v="Troms"/>
        <s v="Vestfold"/>
        <s v="Nordland"/>
        <s v="Oslo"/>
        <s v="Rogaland"/>
        <s v="Akershus"/>
        <s v="Østfold"/>
        <s v="Møre og Romsdal"/>
      </sharedItems>
    </cacheField>
    <cacheField name="komm" numFmtId="0">
      <sharedItems containsSemiMixedTypes="0" containsString="0" containsNumber="1" containsInteger="1" minValue="301" maxValue="5636"/>
    </cacheField>
    <cacheField name="kommunenavn" numFmtId="0">
      <sharedItems/>
    </cacheField>
    <cacheField name="km_kurve" numFmtId="0">
      <sharedItems containsSemiMixedTypes="0" containsString="0" containsNumber="1" minValue="9.33" maxValue="5442.12"/>
    </cacheField>
    <cacheField name="rangeringKmKurve" numFmtId="0">
      <sharedItems containsSemiMixedTypes="0" containsString="0" containsNumber="1" containsInteger="1" minValue="1" maxValue="357"/>
    </cacheField>
    <cacheField name="arealLand" numFmtId="0">
      <sharedItems containsSemiMixedTypes="0" containsString="0" containsNumber="1" containsInteger="1" minValue="6" maxValue="8972"/>
    </cacheField>
    <cacheField name="befolkning" numFmtId="0">
      <sharedItems containsSemiMixedTypes="0" containsString="0" containsNumber="1" containsInteger="1" minValue="217" maxValue="724290"/>
    </cacheField>
    <cacheField name="kmPerKm2" numFmtId="0">
      <sharedItems containsSemiMixedTypes="0" containsString="0" containsNumber="1" minValue="0.14000000000000001" maxValue="5.19"/>
    </cacheField>
    <cacheField name="rangeringKmPerAreal" numFmtId="0">
      <sharedItems containsSemiMixedTypes="0" containsString="0" containsNumber="1" containsInteger="1" minValue="1" maxValue="357"/>
    </cacheField>
    <cacheField name="MeterPerPerson" numFmtId="0">
      <sharedItems containsSemiMixedTypes="0" containsString="0" containsNumber="1" containsInteger="1" minValue="2" maxValue="1908"/>
    </cacheField>
    <cacheField name="rangeringMeterPerPerson" numFmtId="0">
      <sharedItems containsSemiMixedTypes="0" containsString="0" containsNumber="1" containsInteger="1" minValue="1" maxValue="357"/>
    </cacheField>
    <cacheField name="løst_nettverk" numFmtId="0">
      <sharedItems containsString="0" containsBlank="1" containsNumber="1" minValue="38" maxValue="576.92881999999997"/>
    </cacheField>
    <cacheField name="km_kurve_post" numFmtId="0">
      <sharedItems containsString="0" containsBlank="1" containsNumber="1" minValue="231" maxValue="2280.1711799999998"/>
    </cacheField>
    <cacheField name="endring%" numFmtId="0">
      <sharedItems containsMixedTypes="1" containsNumber="1" minValue="-16.3" maxValue="-7"/>
    </cacheField>
    <cacheField name="Ber_tidbruk_minutter" numFmtId="0">
      <sharedItems containsSemiMixedTypes="0" containsString="0" containsNumber="1" containsInteger="1" minValue="12" maxValue="10758"/>
    </cacheField>
    <cacheField name="Timer" numFmtId="1">
      <sharedItems containsSemiMixedTypes="0" containsString="0" containsNumber="1" containsInteger="1" minValue="1" maxValue="180"/>
    </cacheField>
    <cacheField name="Dagsverk" numFmtId="0">
      <sharedItems containsSemiMixedTypes="0" containsString="0" containsNumber="1" containsInteger="1" minValue="1" maxValue="24"/>
    </cacheField>
    <cacheField name="Årsverk" numFmtId="0">
      <sharedItems containsSemiMixedTypes="0" containsString="0" containsNumber="1" minValue="5.9171597633136095E-4" maxValue="0.106508875739644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7">
  <r>
    <x v="0"/>
    <x v="0"/>
    <n v="5612"/>
    <s v="Guovdageaidnu - Kautokeino"/>
    <n v="5442.12"/>
    <n v="1"/>
    <n v="8972"/>
    <n v="2852"/>
    <n v="0.61"/>
    <n v="313"/>
    <n v="1908"/>
    <n v="1"/>
    <m/>
    <m/>
    <s v=""/>
    <n v="10758"/>
    <n v="180"/>
    <n v="24"/>
    <n v="0.10650887573964497"/>
  </r>
  <r>
    <x v="1"/>
    <x v="1"/>
    <n v="5021"/>
    <s v="Oppdal"/>
    <n v="3520.02"/>
    <n v="2"/>
    <n v="2201"/>
    <n v="7408"/>
    <n v="1.6"/>
    <n v="163"/>
    <n v="475"/>
    <n v="54"/>
    <m/>
    <m/>
    <s v=""/>
    <n v="4613"/>
    <n v="77"/>
    <n v="11"/>
    <n v="4.5562130177514794E-2"/>
  </r>
  <r>
    <x v="2"/>
    <x v="2"/>
    <n v="3305"/>
    <s v="Ringerike"/>
    <n v="3496.22"/>
    <n v="3"/>
    <n v="1422"/>
    <n v="31793"/>
    <n v="2.46"/>
    <n v="82"/>
    <n v="110"/>
    <n v="203"/>
    <m/>
    <m/>
    <s v=""/>
    <n v="4085"/>
    <n v="69"/>
    <n v="10"/>
    <n v="4.0828402366863907E-2"/>
  </r>
  <r>
    <x v="3"/>
    <x v="3"/>
    <n v="3424"/>
    <s v="Rendalen"/>
    <n v="3235.68"/>
    <n v="4"/>
    <n v="3061"/>
    <n v="1846"/>
    <n v="1.06"/>
    <n v="239"/>
    <n v="1753"/>
    <n v="2"/>
    <m/>
    <m/>
    <s v=""/>
    <n v="4916"/>
    <n v="82"/>
    <n v="11"/>
    <n v="4.85207100591716E-2"/>
  </r>
  <r>
    <x v="3"/>
    <x v="3"/>
    <n v="3421"/>
    <s v="Trysil"/>
    <n v="3173.77"/>
    <n v="5"/>
    <n v="2941"/>
    <n v="6542"/>
    <n v="1.08"/>
    <n v="234"/>
    <n v="485"/>
    <n v="53"/>
    <m/>
    <m/>
    <s v=""/>
    <n v="4782"/>
    <n v="80"/>
    <n v="11"/>
    <n v="4.7337278106508875E-2"/>
  </r>
  <r>
    <x v="4"/>
    <x v="4"/>
    <n v="4205"/>
    <s v="Lindesnes"/>
    <n v="3097.54"/>
    <n v="6"/>
    <n v="883"/>
    <n v="23768"/>
    <n v="3.51"/>
    <n v="20"/>
    <n v="130"/>
    <n v="182"/>
    <m/>
    <m/>
    <s v=""/>
    <n v="3373"/>
    <n v="57"/>
    <n v="8"/>
    <n v="3.3727810650887577E-2"/>
  </r>
  <r>
    <x v="3"/>
    <x v="3"/>
    <n v="3439"/>
    <s v="Ringebu"/>
    <n v="2943.26"/>
    <n v="7"/>
    <n v="1221"/>
    <n v="4447"/>
    <n v="2.41"/>
    <n v="86"/>
    <n v="662"/>
    <n v="26"/>
    <m/>
    <m/>
    <s v=""/>
    <n v="3454"/>
    <n v="58"/>
    <n v="8"/>
    <n v="3.4319526627218933E-2"/>
  </r>
  <r>
    <x v="2"/>
    <x v="2"/>
    <n v="3338"/>
    <s v="Nore og Uvdal"/>
    <n v="2752.34"/>
    <n v="8"/>
    <n v="2266"/>
    <n v="2466"/>
    <n v="1.21"/>
    <n v="219"/>
    <n v="1116"/>
    <n v="9"/>
    <m/>
    <m/>
    <s v=""/>
    <n v="3962"/>
    <n v="67"/>
    <n v="9"/>
    <n v="3.9644970414201182E-2"/>
  </r>
  <r>
    <x v="5"/>
    <x v="5"/>
    <n v="4647"/>
    <s v="Sunnfjord"/>
    <n v="2735.56"/>
    <n v="9"/>
    <n v="2065"/>
    <n v="22662"/>
    <n v="1.32"/>
    <n v="202"/>
    <n v="121"/>
    <n v="193"/>
    <m/>
    <m/>
    <s v=""/>
    <n v="3816"/>
    <n v="64"/>
    <n v="9"/>
    <n v="3.7869822485207101E-2"/>
  </r>
  <r>
    <x v="1"/>
    <x v="1"/>
    <n v="5006"/>
    <s v="Steinkjer"/>
    <n v="2724.54"/>
    <n v="10"/>
    <n v="1937"/>
    <n v="24064"/>
    <n v="1.41"/>
    <n v="187"/>
    <n v="113"/>
    <n v="201"/>
    <n v="576.92881999999997"/>
    <n v="2280.1711799999998"/>
    <n v="-16.3"/>
    <n v="3723"/>
    <n v="63"/>
    <n v="9"/>
    <n v="3.7278106508875739E-2"/>
  </r>
  <r>
    <x v="0"/>
    <x v="0"/>
    <n v="5610"/>
    <s v="Kárášjohka - Karasjok"/>
    <n v="2643.28"/>
    <n v="11"/>
    <n v="5211"/>
    <n v="2524"/>
    <n v="0.51"/>
    <n v="327"/>
    <n v="1047"/>
    <n v="11"/>
    <m/>
    <m/>
    <s v=""/>
    <n v="5781"/>
    <n v="97"/>
    <n v="13"/>
    <n v="5.7396449704142011E-2"/>
  </r>
  <r>
    <x v="5"/>
    <x v="5"/>
    <n v="4618"/>
    <s v="Ullensvang"/>
    <n v="2631.96"/>
    <n v="12"/>
    <n v="2962"/>
    <n v="10981"/>
    <n v="0.89"/>
    <n v="266"/>
    <n v="240"/>
    <n v="125"/>
    <m/>
    <m/>
    <s v=""/>
    <n v="4306"/>
    <n v="72"/>
    <n v="10"/>
    <n v="4.2603550295857988E-2"/>
  </r>
  <r>
    <x v="3"/>
    <x v="3"/>
    <n v="3423"/>
    <s v="Stor-Elvdal"/>
    <n v="2621.48"/>
    <n v="13"/>
    <n v="2127"/>
    <n v="2250"/>
    <n v="1.23"/>
    <n v="215"/>
    <n v="1165"/>
    <n v="8"/>
    <m/>
    <m/>
    <s v=""/>
    <n v="3753"/>
    <n v="63"/>
    <n v="9"/>
    <n v="3.7278106508875739E-2"/>
  </r>
  <r>
    <x v="5"/>
    <x v="5"/>
    <n v="4621"/>
    <s v="Voss"/>
    <n v="2587.84"/>
    <n v="14"/>
    <n v="1958"/>
    <n v="16436"/>
    <n v="1.32"/>
    <n v="202"/>
    <n v="157"/>
    <n v="163"/>
    <m/>
    <m/>
    <s v=""/>
    <n v="3613"/>
    <n v="61"/>
    <n v="9"/>
    <n v="3.609467455621302E-2"/>
  </r>
  <r>
    <x v="6"/>
    <x v="6"/>
    <n v="4026"/>
    <s v="Tinn"/>
    <n v="2578.3000000000002"/>
    <n v="15"/>
    <n v="1848"/>
    <n v="5529"/>
    <n v="1.4"/>
    <n v="188"/>
    <n v="466"/>
    <n v="57"/>
    <m/>
    <m/>
    <s v=""/>
    <n v="3533"/>
    <n v="59"/>
    <n v="8"/>
    <n v="3.4911242603550295E-2"/>
  </r>
  <r>
    <x v="2"/>
    <x v="2"/>
    <n v="3330"/>
    <s v="Hol"/>
    <n v="2523.6"/>
    <n v="16"/>
    <n v="1653"/>
    <n v="4527"/>
    <n v="1.53"/>
    <n v="173"/>
    <n v="557"/>
    <n v="39"/>
    <m/>
    <m/>
    <s v=""/>
    <n v="3356"/>
    <n v="56"/>
    <n v="8"/>
    <n v="3.3136094674556214E-2"/>
  </r>
  <r>
    <x v="1"/>
    <x v="1"/>
    <n v="5059"/>
    <s v="Orkland"/>
    <n v="2510.04"/>
    <n v="17"/>
    <n v="1818"/>
    <n v="18798"/>
    <n v="1.38"/>
    <n v="194"/>
    <n v="134"/>
    <n v="178"/>
    <m/>
    <m/>
    <s v=""/>
    <n v="3451"/>
    <n v="58"/>
    <n v="8"/>
    <n v="3.4319526627218933E-2"/>
  </r>
  <r>
    <x v="0"/>
    <x v="0"/>
    <n v="5622"/>
    <s v="Porsanger - Porsáŋgu - Porsanki"/>
    <n v="2459.11"/>
    <n v="18"/>
    <n v="4641"/>
    <n v="3896"/>
    <n v="0.53"/>
    <n v="323"/>
    <n v="631"/>
    <n v="31"/>
    <m/>
    <m/>
    <s v=""/>
    <n v="5243"/>
    <n v="88"/>
    <n v="12"/>
    <n v="5.2071005917159761E-2"/>
  </r>
  <r>
    <x v="7"/>
    <x v="7"/>
    <n v="5524"/>
    <s v="Målselv"/>
    <n v="2449.13"/>
    <n v="19"/>
    <n v="3203"/>
    <n v="6794"/>
    <n v="0.76"/>
    <n v="290"/>
    <n v="360"/>
    <n v="83"/>
    <m/>
    <m/>
    <s v=""/>
    <n v="4298"/>
    <n v="72"/>
    <n v="10"/>
    <n v="4.2603550295857988E-2"/>
  </r>
  <r>
    <x v="7"/>
    <x v="7"/>
    <n v="5501"/>
    <s v="Tromsø"/>
    <n v="2442.2399999999998"/>
    <n v="20"/>
    <n v="2472"/>
    <n v="79421"/>
    <n v="0.99"/>
    <n v="249"/>
    <n v="31"/>
    <n v="303"/>
    <m/>
    <m/>
    <s v=""/>
    <n v="3816"/>
    <n v="64"/>
    <n v="9"/>
    <n v="3.7869822485207101E-2"/>
  </r>
  <r>
    <x v="0"/>
    <x v="0"/>
    <n v="5601"/>
    <s v="Alta"/>
    <n v="2416.34"/>
    <n v="21"/>
    <n v="3651"/>
    <n v="21877"/>
    <n v="0.66"/>
    <n v="304"/>
    <n v="110"/>
    <n v="203"/>
    <m/>
    <m/>
    <s v=""/>
    <n v="4560"/>
    <n v="76"/>
    <n v="11"/>
    <n v="4.4970414201183431E-2"/>
  </r>
  <r>
    <x v="6"/>
    <x v="6"/>
    <n v="4036"/>
    <s v="Vinje"/>
    <n v="2317.61"/>
    <n v="22"/>
    <n v="2725"/>
    <n v="3861"/>
    <n v="0.85"/>
    <n v="277"/>
    <n v="600"/>
    <n v="36"/>
    <m/>
    <m/>
    <s v=""/>
    <n v="3868"/>
    <n v="65"/>
    <n v="9"/>
    <n v="3.8461538461538464E-2"/>
  </r>
  <r>
    <x v="4"/>
    <x v="4"/>
    <n v="4204"/>
    <s v="Kristiansand"/>
    <n v="2282.9299999999998"/>
    <n v="23"/>
    <n v="610"/>
    <n v="118221"/>
    <n v="3.74"/>
    <n v="12"/>
    <n v="19"/>
    <n v="325"/>
    <m/>
    <m/>
    <s v=""/>
    <n v="2460"/>
    <n v="41"/>
    <n v="6"/>
    <n v="2.42603550295858E-2"/>
  </r>
  <r>
    <x v="3"/>
    <x v="3"/>
    <n v="3427"/>
    <s v="Tynset"/>
    <n v="2278.6999999999998"/>
    <n v="24"/>
    <n v="1822"/>
    <n v="5722"/>
    <n v="1.25"/>
    <n v="212"/>
    <n v="398"/>
    <n v="68"/>
    <m/>
    <m/>
    <s v=""/>
    <n v="3245"/>
    <n v="55"/>
    <n v="8"/>
    <n v="3.2544378698224852E-2"/>
  </r>
  <r>
    <x v="2"/>
    <x v="2"/>
    <n v="3328"/>
    <s v="Ål"/>
    <n v="2265.7199999999998"/>
    <n v="25"/>
    <n v="1081"/>
    <n v="4835"/>
    <n v="2.1"/>
    <n v="115"/>
    <n v="469"/>
    <n v="55"/>
    <m/>
    <m/>
    <s v=""/>
    <n v="2751"/>
    <n v="46"/>
    <n v="7"/>
    <n v="2.7218934911242602E-2"/>
  </r>
  <r>
    <x v="3"/>
    <x v="3"/>
    <n v="3448"/>
    <s v="Nordre Land"/>
    <n v="2265.4499999999998"/>
    <n v="26"/>
    <n v="920"/>
    <n v="6544"/>
    <n v="2.46"/>
    <n v="82"/>
    <n v="346"/>
    <n v="91"/>
    <m/>
    <m/>
    <s v=""/>
    <n v="2646"/>
    <n v="45"/>
    <n v="6"/>
    <n v="2.6627218934911243E-2"/>
  </r>
  <r>
    <x v="3"/>
    <x v="3"/>
    <n v="3441"/>
    <s v="Gausdal"/>
    <n v="2242.52"/>
    <n v="27"/>
    <n v="1146"/>
    <n v="6174"/>
    <n v="1.96"/>
    <n v="131"/>
    <n v="363"/>
    <n v="80"/>
    <m/>
    <m/>
    <s v=""/>
    <n v="2772"/>
    <n v="47"/>
    <n v="7"/>
    <n v="2.7810650887573965E-2"/>
  </r>
  <r>
    <x v="2"/>
    <x v="2"/>
    <n v="3303"/>
    <s v="Kongsberg"/>
    <n v="2170.21"/>
    <n v="28"/>
    <n v="754"/>
    <n v="29011"/>
    <n v="2.88"/>
    <n v="49"/>
    <n v="75"/>
    <n v="243"/>
    <m/>
    <m/>
    <s v=""/>
    <n v="2452"/>
    <n v="41"/>
    <n v="6"/>
    <n v="2.42603550295858E-2"/>
  </r>
  <r>
    <x v="3"/>
    <x v="3"/>
    <n v="3449"/>
    <s v="Sør-Aurdal"/>
    <n v="2160.85"/>
    <n v="29"/>
    <n v="1068"/>
    <n v="2822"/>
    <n v="2.02"/>
    <n v="124"/>
    <n v="766"/>
    <n v="18"/>
    <m/>
    <m/>
    <s v=""/>
    <n v="2648"/>
    <n v="45"/>
    <n v="6"/>
    <n v="2.6627218934911243E-2"/>
  </r>
  <r>
    <x v="1"/>
    <x v="1"/>
    <n v="5025"/>
    <s v="Rosse - Røros"/>
    <n v="2140.7600000000002"/>
    <n v="30"/>
    <n v="1756"/>
    <n v="5681"/>
    <n v="1.22"/>
    <n v="217"/>
    <n v="377"/>
    <n v="73"/>
    <m/>
    <m/>
    <s v=""/>
    <n v="3077"/>
    <n v="52"/>
    <n v="7"/>
    <n v="3.0769230769230771E-2"/>
  </r>
  <r>
    <x v="7"/>
    <x v="7"/>
    <n v="5530"/>
    <s v="Senja"/>
    <n v="2138.08"/>
    <n v="31"/>
    <n v="1861"/>
    <n v="14948"/>
    <n v="1.1499999999999999"/>
    <n v="224"/>
    <n v="143"/>
    <n v="173"/>
    <m/>
    <m/>
    <s v=""/>
    <n v="3143"/>
    <n v="53"/>
    <n v="8"/>
    <n v="3.1360946745562134E-2"/>
  </r>
  <r>
    <x v="3"/>
    <x v="3"/>
    <n v="3428"/>
    <s v="Alvdal"/>
    <n v="2111.75"/>
    <n v="32"/>
    <n v="919"/>
    <n v="2509"/>
    <n v="2.2999999999999998"/>
    <n v="95"/>
    <n v="842"/>
    <n v="16"/>
    <m/>
    <m/>
    <s v=""/>
    <n v="2506"/>
    <n v="42"/>
    <n v="6"/>
    <n v="2.4852071005917159E-2"/>
  </r>
  <r>
    <x v="0"/>
    <x v="0"/>
    <n v="5628"/>
    <s v="Deatnu - Tana"/>
    <n v="2067.9299999999998"/>
    <n v="33"/>
    <n v="3832"/>
    <n v="2798"/>
    <n v="0.54"/>
    <n v="322"/>
    <n v="739"/>
    <n v="22"/>
    <m/>
    <m/>
    <s v=""/>
    <n v="4363"/>
    <n v="73"/>
    <n v="10"/>
    <n v="4.319526627218935E-2"/>
  </r>
  <r>
    <x v="8"/>
    <x v="8"/>
    <n v="3909"/>
    <s v="Larvik"/>
    <n v="2065.11"/>
    <n v="34"/>
    <n v="771"/>
    <n v="48870"/>
    <n v="2.68"/>
    <n v="64"/>
    <n v="42"/>
    <n v="289"/>
    <m/>
    <m/>
    <s v=""/>
    <n v="2368"/>
    <n v="40"/>
    <n v="6"/>
    <n v="2.3668639053254437E-2"/>
  </r>
  <r>
    <x v="3"/>
    <x v="3"/>
    <n v="3437"/>
    <s v="Sel"/>
    <n v="2052.21"/>
    <n v="35"/>
    <n v="888"/>
    <n v="5623"/>
    <n v="2.31"/>
    <n v="93"/>
    <n v="365"/>
    <n v="79"/>
    <m/>
    <m/>
    <s v=""/>
    <n v="2432"/>
    <n v="41"/>
    <n v="6"/>
    <n v="2.42603550295858E-2"/>
  </r>
  <r>
    <x v="3"/>
    <x v="3"/>
    <n v="3420"/>
    <s v="Elverum"/>
    <n v="2046.99"/>
    <n v="36"/>
    <n v="1209"/>
    <n v="21899"/>
    <n v="1.69"/>
    <n v="156"/>
    <n v="93"/>
    <n v="223"/>
    <m/>
    <m/>
    <s v=""/>
    <n v="2637"/>
    <n v="44"/>
    <n v="6"/>
    <n v="2.6035502958579881E-2"/>
  </r>
  <r>
    <x v="7"/>
    <x v="7"/>
    <n v="5532"/>
    <s v="Balsfjord"/>
    <n v="2010.49"/>
    <n v="37"/>
    <n v="1440"/>
    <n v="5595"/>
    <n v="1.4"/>
    <n v="188"/>
    <n v="359"/>
    <n v="84"/>
    <m/>
    <m/>
    <s v=""/>
    <n v="2754"/>
    <n v="46"/>
    <n v="7"/>
    <n v="2.7218934911242602E-2"/>
  </r>
  <r>
    <x v="1"/>
    <x v="1"/>
    <n v="5027"/>
    <s v="Midtre Gauldal"/>
    <n v="1978.38"/>
    <n v="38"/>
    <n v="1803"/>
    <n v="6141"/>
    <n v="1.1000000000000001"/>
    <n v="229"/>
    <n v="322"/>
    <n v="98"/>
    <m/>
    <m/>
    <s v=""/>
    <n v="2961"/>
    <n v="50"/>
    <n v="7"/>
    <n v="2.9585798816568046E-2"/>
  </r>
  <r>
    <x v="5"/>
    <x v="5"/>
    <n v="4631"/>
    <s v="Alver"/>
    <n v="1977.05"/>
    <n v="39"/>
    <n v="651"/>
    <n v="30169"/>
    <n v="3.04"/>
    <n v="42"/>
    <n v="66"/>
    <n v="255"/>
    <m/>
    <m/>
    <s v=""/>
    <n v="2210"/>
    <n v="37"/>
    <n v="5"/>
    <n v="2.1893491124260357E-2"/>
  </r>
  <r>
    <x v="3"/>
    <x v="3"/>
    <n v="3451"/>
    <s v="Nord-Aurdal"/>
    <n v="1959.26"/>
    <n v="40"/>
    <n v="849"/>
    <n v="6455"/>
    <n v="2.31"/>
    <n v="93"/>
    <n v="304"/>
    <n v="101"/>
    <m/>
    <m/>
    <s v=""/>
    <n v="2323"/>
    <n v="39"/>
    <n v="6"/>
    <n v="2.3076923076923078E-2"/>
  </r>
  <r>
    <x v="3"/>
    <x v="3"/>
    <n v="3436"/>
    <s v="Nord-Fron"/>
    <n v="1952.39"/>
    <n v="41"/>
    <n v="1092"/>
    <n v="5553"/>
    <n v="1.79"/>
    <n v="145"/>
    <n v="352"/>
    <n v="87"/>
    <m/>
    <m/>
    <s v=""/>
    <n v="2475"/>
    <n v="42"/>
    <n v="6"/>
    <n v="2.4852071005917159E-2"/>
  </r>
  <r>
    <x v="2"/>
    <x v="2"/>
    <n v="3332"/>
    <s v="Sigdal"/>
    <n v="1915.51"/>
    <n v="42"/>
    <n v="811"/>
    <n v="3530"/>
    <n v="2.36"/>
    <n v="89"/>
    <n v="543"/>
    <n v="42"/>
    <m/>
    <m/>
    <s v=""/>
    <n v="2259"/>
    <n v="38"/>
    <n v="6"/>
    <n v="2.2485207100591716E-2"/>
  </r>
  <r>
    <x v="1"/>
    <x v="1"/>
    <n v="5035"/>
    <s v="Stjørdal"/>
    <n v="1854.39"/>
    <n v="43"/>
    <n v="913"/>
    <n v="24927"/>
    <n v="2.0299999999999998"/>
    <n v="121"/>
    <n v="74"/>
    <n v="245"/>
    <m/>
    <m/>
    <s v=""/>
    <n v="2270"/>
    <n v="38"/>
    <n v="6"/>
    <n v="2.2485207100591716E-2"/>
  </r>
  <r>
    <x v="3"/>
    <x v="3"/>
    <n v="3429"/>
    <s v="Folldal"/>
    <n v="1852.43"/>
    <n v="44"/>
    <n v="1260"/>
    <n v="1540"/>
    <n v="1.47"/>
    <n v="177"/>
    <n v="1203"/>
    <n v="5"/>
    <m/>
    <m/>
    <s v=""/>
    <n v="2494"/>
    <n v="42"/>
    <n v="6"/>
    <n v="2.4852071005917159E-2"/>
  </r>
  <r>
    <x v="3"/>
    <x v="3"/>
    <n v="3401"/>
    <s v="Kongsvinger"/>
    <n v="1833.61"/>
    <n v="45"/>
    <n v="953"/>
    <n v="18109"/>
    <n v="1.92"/>
    <n v="135"/>
    <n v="101"/>
    <n v="213"/>
    <m/>
    <m/>
    <s v=""/>
    <n v="2277"/>
    <n v="38"/>
    <n v="6"/>
    <n v="2.2485207100591716E-2"/>
  </r>
  <r>
    <x v="9"/>
    <x v="9"/>
    <n v="1833"/>
    <s v="Rana"/>
    <n v="1813.92"/>
    <n v="46"/>
    <n v="4203"/>
    <n v="25927"/>
    <n v="0.43"/>
    <n v="339"/>
    <n v="70"/>
    <n v="249"/>
    <m/>
    <m/>
    <s v=""/>
    <n v="4375"/>
    <n v="73"/>
    <n v="10"/>
    <n v="4.319526627218935E-2"/>
  </r>
  <r>
    <x v="3"/>
    <x v="3"/>
    <n v="3411"/>
    <s v="Ringsaker"/>
    <n v="1796.16"/>
    <n v="47"/>
    <n v="1123"/>
    <n v="35911"/>
    <n v="1.6"/>
    <n v="163"/>
    <n v="50"/>
    <n v="271"/>
    <m/>
    <m/>
    <s v=""/>
    <n v="2354"/>
    <n v="40"/>
    <n v="6"/>
    <n v="2.3668639053254437E-2"/>
  </r>
  <r>
    <x v="3"/>
    <x v="3"/>
    <n v="3426"/>
    <s v="Tolga"/>
    <n v="1747.4"/>
    <n v="48"/>
    <n v="1097"/>
    <n v="1606"/>
    <n v="1.59"/>
    <n v="166"/>
    <n v="1088"/>
    <n v="10"/>
    <m/>
    <m/>
    <s v=""/>
    <n v="2293"/>
    <n v="39"/>
    <n v="6"/>
    <n v="2.3076923076923078E-2"/>
  </r>
  <r>
    <x v="3"/>
    <x v="3"/>
    <n v="3435"/>
    <s v="Vågå"/>
    <n v="1743.14"/>
    <n v="49"/>
    <n v="1252"/>
    <n v="3529"/>
    <n v="1.39"/>
    <n v="192"/>
    <n v="494"/>
    <n v="52"/>
    <m/>
    <m/>
    <s v=""/>
    <n v="2390"/>
    <n v="40"/>
    <n v="6"/>
    <n v="2.3668639053254437E-2"/>
  </r>
  <r>
    <x v="3"/>
    <x v="3"/>
    <n v="3431"/>
    <s v="Dovre"/>
    <n v="1733.34"/>
    <n v="50"/>
    <n v="1349"/>
    <n v="2516"/>
    <n v="1.28"/>
    <n v="207"/>
    <n v="689"/>
    <n v="23"/>
    <m/>
    <m/>
    <s v=""/>
    <n v="2444"/>
    <n v="41"/>
    <n v="6"/>
    <n v="2.42603550295858E-2"/>
  </r>
  <r>
    <x v="10"/>
    <x v="10"/>
    <n v="301"/>
    <s v="Oslo"/>
    <n v="1727.18"/>
    <n v="51"/>
    <n v="426"/>
    <n v="724290"/>
    <n v="4.05"/>
    <n v="4"/>
    <n v="2"/>
    <n v="357"/>
    <m/>
    <m/>
    <s v=""/>
    <n v="1838"/>
    <n v="31"/>
    <n v="5"/>
    <n v="1.8343195266272188E-2"/>
  </r>
  <r>
    <x v="2"/>
    <x v="2"/>
    <n v="3322"/>
    <s v="Nesbyen"/>
    <n v="1720.16"/>
    <n v="52"/>
    <n v="772"/>
    <n v="3266"/>
    <n v="2.23"/>
    <n v="103"/>
    <n v="527"/>
    <n v="43"/>
    <m/>
    <m/>
    <s v=""/>
    <n v="2057"/>
    <n v="35"/>
    <n v="5"/>
    <n v="2.0710059171597635E-2"/>
  </r>
  <r>
    <x v="5"/>
    <x v="5"/>
    <n v="4601"/>
    <s v="Bergen"/>
    <n v="1711.47"/>
    <n v="53"/>
    <n v="445"/>
    <n v="293709"/>
    <n v="3.85"/>
    <n v="8"/>
    <n v="6"/>
    <n v="352"/>
    <m/>
    <m/>
    <s v=""/>
    <n v="1836"/>
    <n v="31"/>
    <n v="5"/>
    <n v="1.8343195266272188E-2"/>
  </r>
  <r>
    <x v="11"/>
    <x v="11"/>
    <n v="1108"/>
    <s v="Sandnes"/>
    <n v="1690.13"/>
    <n v="54"/>
    <n v="943"/>
    <n v="84908"/>
    <n v="1.79"/>
    <n v="145"/>
    <n v="20"/>
    <n v="323"/>
    <m/>
    <m/>
    <s v=""/>
    <n v="2141"/>
    <n v="36"/>
    <n v="5"/>
    <n v="2.1301775147928994E-2"/>
  </r>
  <r>
    <x v="12"/>
    <x v="12"/>
    <n v="3226"/>
    <s v="Aurskog-Høland"/>
    <n v="1678.31"/>
    <n v="55"/>
    <n v="1053"/>
    <n v="18314"/>
    <n v="1.59"/>
    <n v="166"/>
    <n v="92"/>
    <n v="225"/>
    <m/>
    <m/>
    <s v=""/>
    <n v="2202"/>
    <n v="37"/>
    <n v="5"/>
    <n v="2.1893491124260357E-2"/>
  </r>
  <r>
    <x v="3"/>
    <x v="3"/>
    <n v="3440"/>
    <s v="Øyer"/>
    <n v="1668.43"/>
    <n v="56"/>
    <n v="616"/>
    <n v="5134"/>
    <n v="2.71"/>
    <n v="62"/>
    <n v="325"/>
    <n v="97"/>
    <m/>
    <m/>
    <s v=""/>
    <n v="1908"/>
    <n v="32"/>
    <n v="5"/>
    <n v="1.8934911242603551E-2"/>
  </r>
  <r>
    <x v="1"/>
    <x v="1"/>
    <n v="5054"/>
    <s v="Indre Fosen"/>
    <n v="1648.98"/>
    <n v="57"/>
    <n v="1030"/>
    <n v="10042"/>
    <n v="1.6"/>
    <n v="163"/>
    <n v="164"/>
    <n v="157"/>
    <m/>
    <m/>
    <s v=""/>
    <n v="2160"/>
    <n v="36"/>
    <n v="5"/>
    <n v="2.1301775147928994E-2"/>
  </r>
  <r>
    <x v="3"/>
    <x v="3"/>
    <n v="3425"/>
    <s v="Engerdal"/>
    <n v="1647.08"/>
    <n v="58"/>
    <n v="1916"/>
    <n v="1326"/>
    <n v="0.86"/>
    <n v="273"/>
    <n v="1242"/>
    <n v="4"/>
    <m/>
    <m/>
    <s v=""/>
    <n v="2735"/>
    <n v="46"/>
    <n v="7"/>
    <n v="2.7218934911242602E-2"/>
  </r>
  <r>
    <x v="1"/>
    <x v="1"/>
    <n v="5007"/>
    <s v="Namsos - Nåavmesjenjaelmie"/>
    <n v="1628.75"/>
    <n v="59"/>
    <n v="1998"/>
    <n v="15154"/>
    <n v="0.82"/>
    <n v="281"/>
    <n v="107"/>
    <n v="210"/>
    <n v="366"/>
    <n v="1491"/>
    <n v="-8.5"/>
    <n v="2772"/>
    <n v="47"/>
    <n v="7"/>
    <n v="2.7810650887573965E-2"/>
  </r>
  <r>
    <x v="1"/>
    <x v="1"/>
    <n v="5001"/>
    <s v="Trondheim - Tråante"/>
    <n v="1618.92"/>
    <n v="60"/>
    <n v="496"/>
    <n v="216518"/>
    <n v="3.26"/>
    <n v="32"/>
    <n v="7"/>
    <n v="348"/>
    <m/>
    <m/>
    <s v=""/>
    <n v="1786"/>
    <n v="30"/>
    <n v="4"/>
    <n v="1.7751479289940829E-2"/>
  </r>
  <r>
    <x v="13"/>
    <x v="13"/>
    <n v="3118"/>
    <s v="Indre Østfold"/>
    <n v="1616.36"/>
    <n v="61"/>
    <n v="755"/>
    <n v="47449"/>
    <n v="2.14"/>
    <n v="113"/>
    <n v="34"/>
    <n v="301"/>
    <m/>
    <m/>
    <s v=""/>
    <n v="1952"/>
    <n v="33"/>
    <n v="5"/>
    <n v="1.952662721893491E-2"/>
  </r>
  <r>
    <x v="6"/>
    <x v="6"/>
    <n v="4003"/>
    <s v="Skien"/>
    <n v="1589.44"/>
    <n v="62"/>
    <n v="719"/>
    <n v="56866"/>
    <n v="2.21"/>
    <n v="106"/>
    <n v="28"/>
    <n v="309"/>
    <m/>
    <m/>
    <s v=""/>
    <n v="1904"/>
    <n v="32"/>
    <n v="5"/>
    <n v="1.8934911242603551E-2"/>
  </r>
  <r>
    <x v="0"/>
    <x v="0"/>
    <n v="5605"/>
    <s v="Sør-Varanger"/>
    <n v="1589.23"/>
    <n v="63"/>
    <n v="3459"/>
    <n v="9963"/>
    <n v="0.46"/>
    <n v="333"/>
    <n v="160"/>
    <n v="160"/>
    <m/>
    <m/>
    <s v=""/>
    <n v="3688"/>
    <n v="62"/>
    <n v="9"/>
    <n v="3.6686390532544376E-2"/>
  </r>
  <r>
    <x v="14"/>
    <x v="14"/>
    <n v="1506"/>
    <s v="Molde"/>
    <n v="1539.33"/>
    <n v="64"/>
    <n v="1435"/>
    <n v="33163"/>
    <n v="1.07"/>
    <n v="236"/>
    <n v="46"/>
    <n v="281"/>
    <m/>
    <m/>
    <s v=""/>
    <n v="2325"/>
    <n v="39"/>
    <n v="6"/>
    <n v="2.3076923076923078E-2"/>
  </r>
  <r>
    <x v="7"/>
    <x v="7"/>
    <n v="5503"/>
    <s v="Harstad - Hárstták"/>
    <n v="1503.82"/>
    <n v="65"/>
    <n v="428"/>
    <n v="25167"/>
    <n v="3.51"/>
    <n v="20"/>
    <n v="60"/>
    <n v="264"/>
    <m/>
    <m/>
    <s v=""/>
    <n v="1637"/>
    <n v="28"/>
    <n v="4"/>
    <n v="1.6568047337278107E-2"/>
  </r>
  <r>
    <x v="3"/>
    <x v="3"/>
    <n v="3422"/>
    <s v="Åmot"/>
    <n v="1496.86"/>
    <n v="66"/>
    <n v="1293"/>
    <n v="4205"/>
    <n v="1.1599999999999999"/>
    <n v="223"/>
    <n v="356"/>
    <n v="86"/>
    <m/>
    <m/>
    <s v=""/>
    <n v="2194"/>
    <n v="37"/>
    <n v="5"/>
    <n v="2.1893491124260357E-2"/>
  </r>
  <r>
    <x v="5"/>
    <x v="5"/>
    <n v="4644"/>
    <s v="Luster"/>
    <n v="1476.41"/>
    <n v="67"/>
    <n v="2597"/>
    <n v="5432"/>
    <n v="0.56999999999999995"/>
    <n v="317"/>
    <n v="272"/>
    <n v="113"/>
    <m/>
    <m/>
    <s v=""/>
    <n v="3025"/>
    <n v="51"/>
    <n v="7"/>
    <n v="3.0177514792899408E-2"/>
  </r>
  <r>
    <x v="6"/>
    <x v="6"/>
    <n v="4016"/>
    <s v="Drangedal"/>
    <n v="1453.62"/>
    <n v="68"/>
    <n v="995"/>
    <n v="4067"/>
    <n v="1.46"/>
    <n v="179"/>
    <n v="357"/>
    <n v="85"/>
    <m/>
    <m/>
    <s v=""/>
    <n v="1961"/>
    <n v="33"/>
    <n v="5"/>
    <n v="1.952662721893491E-2"/>
  </r>
  <r>
    <x v="1"/>
    <x v="1"/>
    <n v="5038"/>
    <s v="Verdal"/>
    <n v="1452.89"/>
    <n v="69"/>
    <n v="1475"/>
    <n v="15412"/>
    <n v="0.99"/>
    <n v="249"/>
    <n v="94"/>
    <n v="221"/>
    <m/>
    <m/>
    <s v=""/>
    <n v="2273"/>
    <n v="38"/>
    <n v="6"/>
    <n v="2.2485207100591716E-2"/>
  </r>
  <r>
    <x v="5"/>
    <x v="5"/>
    <n v="4649"/>
    <s v="Stad"/>
    <n v="1437.14"/>
    <n v="70"/>
    <n v="695"/>
    <n v="9655"/>
    <n v="2.0699999999999998"/>
    <n v="117"/>
    <n v="149"/>
    <n v="167"/>
    <m/>
    <m/>
    <s v=""/>
    <n v="1751"/>
    <n v="30"/>
    <n v="4"/>
    <n v="1.7751479289940829E-2"/>
  </r>
  <r>
    <x v="1"/>
    <x v="1"/>
    <n v="5037"/>
    <s v="Levanger"/>
    <n v="1422.45"/>
    <n v="71"/>
    <n v="610"/>
    <n v="20732"/>
    <n v="2.33"/>
    <n v="90"/>
    <n v="69"/>
    <n v="251"/>
    <m/>
    <m/>
    <s v=""/>
    <n v="1682"/>
    <n v="29"/>
    <n v="4"/>
    <n v="1.7159763313609466E-2"/>
  </r>
  <r>
    <x v="3"/>
    <x v="3"/>
    <n v="3454"/>
    <s v="Vang"/>
    <n v="1422.38"/>
    <n v="72"/>
    <n v="1309"/>
    <n v="1648"/>
    <n v="1.0900000000000001"/>
    <n v="232"/>
    <n v="863"/>
    <n v="15"/>
    <m/>
    <m/>
    <s v=""/>
    <n v="2137"/>
    <n v="36"/>
    <n v="5"/>
    <n v="2.1301775147928994E-2"/>
  </r>
  <r>
    <x v="11"/>
    <x v="11"/>
    <n v="1134"/>
    <s v="Suldal"/>
    <n v="1420.06"/>
    <n v="73"/>
    <n v="1582"/>
    <n v="3939"/>
    <n v="0.9"/>
    <n v="264"/>
    <n v="361"/>
    <n v="81"/>
    <m/>
    <m/>
    <s v=""/>
    <n v="2313"/>
    <n v="39"/>
    <n v="6"/>
    <n v="2.3076923076923078E-2"/>
  </r>
  <r>
    <x v="9"/>
    <x v="9"/>
    <n v="1806"/>
    <s v="Narvik"/>
    <n v="1404.93"/>
    <n v="74"/>
    <n v="3195"/>
    <n v="21591"/>
    <n v="0.44"/>
    <n v="335"/>
    <n v="65"/>
    <n v="259"/>
    <m/>
    <m/>
    <s v=""/>
    <n v="3349"/>
    <n v="56"/>
    <n v="8"/>
    <n v="3.3136094674556214E-2"/>
  </r>
  <r>
    <x v="6"/>
    <x v="6"/>
    <n v="4020"/>
    <s v="Midt-Telemark"/>
    <n v="1393.38"/>
    <n v="75"/>
    <n v="487"/>
    <n v="11135"/>
    <n v="2.86"/>
    <n v="51"/>
    <n v="125"/>
    <n v="191"/>
    <m/>
    <m/>
    <s v=""/>
    <n v="1576"/>
    <n v="27"/>
    <n v="4"/>
    <n v="1.5976331360946745E-2"/>
  </r>
  <r>
    <x v="4"/>
    <x v="4"/>
    <n v="4225"/>
    <s v="Lyngdal"/>
    <n v="1390.63"/>
    <n v="76"/>
    <n v="606"/>
    <n v="10869"/>
    <n v="2.29"/>
    <n v="97"/>
    <n v="128"/>
    <n v="185"/>
    <m/>
    <m/>
    <s v=""/>
    <n v="1651"/>
    <n v="28"/>
    <n v="4"/>
    <n v="1.6568047337278107E-2"/>
  </r>
  <r>
    <x v="6"/>
    <x v="6"/>
    <n v="4005"/>
    <s v="Notodden"/>
    <n v="1383.55"/>
    <n v="77"/>
    <n v="912"/>
    <n v="13333"/>
    <n v="1.52"/>
    <n v="174"/>
    <n v="104"/>
    <n v="211"/>
    <m/>
    <m/>
    <s v=""/>
    <n v="1844"/>
    <n v="31"/>
    <n v="5"/>
    <n v="1.8343195266272188E-2"/>
  </r>
  <r>
    <x v="5"/>
    <x v="5"/>
    <n v="4640"/>
    <s v="Sogndal"/>
    <n v="1377.92"/>
    <n v="78"/>
    <n v="1229"/>
    <n v="12496"/>
    <n v="1.1200000000000001"/>
    <n v="226"/>
    <n v="110"/>
    <n v="203"/>
    <m/>
    <m/>
    <s v=""/>
    <n v="2045"/>
    <n v="35"/>
    <n v="5"/>
    <n v="2.0710059171597635E-2"/>
  </r>
  <r>
    <x v="13"/>
    <x v="13"/>
    <n v="3101"/>
    <s v="Halden"/>
    <n v="1358.82"/>
    <n v="79"/>
    <n v="595"/>
    <n v="32038"/>
    <n v="2.2799999999999998"/>
    <n v="98"/>
    <n v="42"/>
    <n v="289"/>
    <m/>
    <m/>
    <s v=""/>
    <n v="1615"/>
    <n v="27"/>
    <n v="4"/>
    <n v="1.5976331360946745E-2"/>
  </r>
  <r>
    <x v="3"/>
    <x v="3"/>
    <n v="3432"/>
    <s v="Lesja"/>
    <n v="1355.25"/>
    <n v="80"/>
    <n v="2167"/>
    <n v="2006"/>
    <n v="0.63"/>
    <n v="309"/>
    <n v="676"/>
    <n v="24"/>
    <m/>
    <m/>
    <s v=""/>
    <n v="2635"/>
    <n v="44"/>
    <n v="6"/>
    <n v="2.6035502958579881E-2"/>
  </r>
  <r>
    <x v="2"/>
    <x v="2"/>
    <n v="3316"/>
    <s v="Modum"/>
    <n v="1353.27"/>
    <n v="81"/>
    <n v="463"/>
    <n v="14664"/>
    <n v="2.92"/>
    <n v="46"/>
    <n v="92"/>
    <n v="225"/>
    <m/>
    <m/>
    <s v=""/>
    <n v="1524"/>
    <n v="26"/>
    <n v="4"/>
    <n v="1.5384615384615385E-2"/>
  </r>
  <r>
    <x v="2"/>
    <x v="2"/>
    <n v="3324"/>
    <s v="Gol"/>
    <n v="1351.45"/>
    <n v="82"/>
    <n v="514"/>
    <n v="4888"/>
    <n v="2.63"/>
    <n v="69"/>
    <n v="276"/>
    <n v="111"/>
    <m/>
    <m/>
    <s v=""/>
    <n v="1556"/>
    <n v="26"/>
    <n v="4"/>
    <n v="1.5384615384615385E-2"/>
  </r>
  <r>
    <x v="4"/>
    <x v="4"/>
    <n v="4217"/>
    <s v="Åmli"/>
    <n v="1349.34"/>
    <n v="83"/>
    <n v="1058"/>
    <n v="1778"/>
    <n v="1.28"/>
    <n v="207"/>
    <n v="759"/>
    <n v="19"/>
    <m/>
    <m/>
    <s v=""/>
    <n v="1908"/>
    <n v="32"/>
    <n v="5"/>
    <n v="1.8934911242603551E-2"/>
  </r>
  <r>
    <x v="4"/>
    <x v="4"/>
    <n v="4227"/>
    <s v="Kvinesdal"/>
    <n v="1347.36"/>
    <n v="84"/>
    <n v="886"/>
    <n v="6163"/>
    <n v="1.52"/>
    <n v="174"/>
    <n v="219"/>
    <n v="134"/>
    <m/>
    <m/>
    <s v=""/>
    <n v="1794"/>
    <n v="30"/>
    <n v="4"/>
    <n v="1.7751479289940829E-2"/>
  </r>
  <r>
    <x v="3"/>
    <x v="3"/>
    <n v="3438"/>
    <s v="Sør-Fron"/>
    <n v="1345.17"/>
    <n v="85"/>
    <n v="712"/>
    <n v="3128"/>
    <n v="1.89"/>
    <n v="137"/>
    <n v="430"/>
    <n v="63"/>
    <m/>
    <m/>
    <s v=""/>
    <n v="1679"/>
    <n v="28"/>
    <n v="4"/>
    <n v="1.6568047337278107E-2"/>
  </r>
  <r>
    <x v="9"/>
    <x v="9"/>
    <n v="1804"/>
    <s v="Bodø"/>
    <n v="1338.85"/>
    <n v="86"/>
    <n v="1311"/>
    <n v="53725"/>
    <n v="1.02"/>
    <n v="247"/>
    <n v="25"/>
    <n v="314"/>
    <m/>
    <m/>
    <s v=""/>
    <n v="2063"/>
    <n v="35"/>
    <n v="5"/>
    <n v="2.0710059171597635E-2"/>
  </r>
  <r>
    <x v="6"/>
    <x v="6"/>
    <n v="4022"/>
    <s v="Seljord"/>
    <n v="1336.31"/>
    <n v="87"/>
    <n v="669"/>
    <n v="2981"/>
    <n v="2"/>
    <n v="126"/>
    <n v="448"/>
    <n v="60"/>
    <m/>
    <m/>
    <s v=""/>
    <n v="1643"/>
    <n v="28"/>
    <n v="4"/>
    <n v="1.6568047337278107E-2"/>
  </r>
  <r>
    <x v="12"/>
    <x v="12"/>
    <n v="3203"/>
    <s v="Asker"/>
    <n v="1324.64"/>
    <n v="88"/>
    <n v="364"/>
    <n v="100492"/>
    <n v="3.64"/>
    <n v="16"/>
    <n v="13"/>
    <n v="335"/>
    <m/>
    <m/>
    <s v=""/>
    <n v="1434"/>
    <n v="24"/>
    <n v="4"/>
    <n v="1.4201183431952662E-2"/>
  </r>
  <r>
    <x v="4"/>
    <x v="4"/>
    <n v="4216"/>
    <s v="Birkenes"/>
    <n v="1321.88"/>
    <n v="89"/>
    <n v="596"/>
    <n v="5413"/>
    <n v="2.2200000000000002"/>
    <n v="105"/>
    <n v="244"/>
    <n v="123"/>
    <m/>
    <m/>
    <s v=""/>
    <n v="1582"/>
    <n v="27"/>
    <n v="4"/>
    <n v="1.5976331360946745E-2"/>
  </r>
  <r>
    <x v="8"/>
    <x v="8"/>
    <n v="3907"/>
    <s v="Sandefjord"/>
    <n v="1310.6500000000001"/>
    <n v="90"/>
    <n v="414"/>
    <n v="66758"/>
    <n v="3.17"/>
    <n v="36"/>
    <n v="20"/>
    <n v="323"/>
    <m/>
    <m/>
    <s v=""/>
    <n v="1454"/>
    <n v="25"/>
    <n v="4"/>
    <n v="1.4792899408284023E-2"/>
  </r>
  <r>
    <x v="3"/>
    <x v="3"/>
    <n v="3452"/>
    <s v="Vestre Slidre"/>
    <n v="1298.8399999999999"/>
    <n v="91"/>
    <n v="415"/>
    <n v="2142"/>
    <n v="3.13"/>
    <n v="38"/>
    <n v="606"/>
    <n v="34"/>
    <m/>
    <m/>
    <s v=""/>
    <n v="1444"/>
    <n v="25"/>
    <n v="4"/>
    <n v="1.4792899408284023E-2"/>
  </r>
  <r>
    <x v="1"/>
    <x v="1"/>
    <n v="5022"/>
    <s v="Rennebu"/>
    <n v="1297.5"/>
    <n v="92"/>
    <n v="924"/>
    <n v="2513"/>
    <n v="1.4"/>
    <n v="188"/>
    <n v="516"/>
    <n v="46"/>
    <m/>
    <m/>
    <s v=""/>
    <n v="1774"/>
    <n v="30"/>
    <n v="4"/>
    <n v="1.7751479289940829E-2"/>
  </r>
  <r>
    <x v="3"/>
    <x v="3"/>
    <n v="3453"/>
    <s v="Øystre Slidre"/>
    <n v="1273.3599999999999"/>
    <n v="93"/>
    <n v="886"/>
    <n v="3311"/>
    <n v="1.44"/>
    <n v="184"/>
    <n v="385"/>
    <n v="71"/>
    <m/>
    <m/>
    <s v=""/>
    <n v="1727"/>
    <n v="29"/>
    <n v="4"/>
    <n v="1.7159763313609466E-2"/>
  </r>
  <r>
    <x v="14"/>
    <x v="14"/>
    <n v="1539"/>
    <s v="Rauma"/>
    <n v="1270.43"/>
    <n v="94"/>
    <n v="1390"/>
    <n v="7196"/>
    <n v="0.91"/>
    <n v="261"/>
    <n v="177"/>
    <n v="153"/>
    <m/>
    <m/>
    <s v=""/>
    <n v="2053"/>
    <n v="35"/>
    <n v="5"/>
    <n v="2.0710059171597635E-2"/>
  </r>
  <r>
    <x v="1"/>
    <x v="1"/>
    <n v="5055"/>
    <s v="Heim"/>
    <n v="1264.49"/>
    <n v="95"/>
    <n v="980"/>
    <n v="6134"/>
    <n v="1.29"/>
    <n v="205"/>
    <n v="206"/>
    <n v="138"/>
    <m/>
    <m/>
    <s v=""/>
    <n v="1780"/>
    <n v="30"/>
    <n v="4"/>
    <n v="1.7751479289940829E-2"/>
  </r>
  <r>
    <x v="3"/>
    <x v="3"/>
    <n v="3447"/>
    <s v="Søndre Land"/>
    <n v="1261.3699999999999"/>
    <n v="96"/>
    <n v="659"/>
    <n v="5597"/>
    <n v="1.91"/>
    <n v="136"/>
    <n v="225"/>
    <n v="133"/>
    <m/>
    <m/>
    <s v=""/>
    <n v="1569"/>
    <n v="27"/>
    <n v="4"/>
    <n v="1.5976331360946745E-2"/>
  </r>
  <r>
    <x v="1"/>
    <x v="1"/>
    <n v="5033"/>
    <s v="Tydal"/>
    <n v="1260.27"/>
    <n v="97"/>
    <n v="1217"/>
    <n v="786"/>
    <n v="1.04"/>
    <n v="240"/>
    <n v="1603"/>
    <n v="3"/>
    <m/>
    <m/>
    <s v=""/>
    <n v="1931"/>
    <n v="33"/>
    <n v="5"/>
    <n v="1.952662721893491E-2"/>
  </r>
  <r>
    <x v="14"/>
    <x v="14"/>
    <n v="1566"/>
    <s v="Surnadal"/>
    <n v="1257.8499999999999"/>
    <n v="98"/>
    <n v="1315"/>
    <n v="5950"/>
    <n v="0.96"/>
    <n v="257"/>
    <n v="211"/>
    <n v="137"/>
    <m/>
    <m/>
    <s v=""/>
    <n v="1993"/>
    <n v="34"/>
    <n v="5"/>
    <n v="2.0118343195266272E-2"/>
  </r>
  <r>
    <x v="12"/>
    <x v="12"/>
    <n v="3228"/>
    <s v="Nes"/>
    <n v="1250.6199999999999"/>
    <n v="99"/>
    <n v="612"/>
    <n v="24897"/>
    <n v="2.04"/>
    <n v="120"/>
    <n v="50"/>
    <n v="271"/>
    <m/>
    <m/>
    <s v=""/>
    <n v="1528"/>
    <n v="26"/>
    <n v="4"/>
    <n v="1.5384615384615385E-2"/>
  </r>
  <r>
    <x v="5"/>
    <x v="5"/>
    <n v="4622"/>
    <s v="Kvam"/>
    <n v="1250.23"/>
    <n v="100"/>
    <n v="580"/>
    <n v="8517"/>
    <n v="2.16"/>
    <n v="109"/>
    <n v="147"/>
    <n v="168"/>
    <m/>
    <m/>
    <s v=""/>
    <n v="1507"/>
    <n v="26"/>
    <n v="4"/>
    <n v="1.5384615384615385E-2"/>
  </r>
  <r>
    <x v="11"/>
    <x v="11"/>
    <n v="1160"/>
    <s v="Vindafjord"/>
    <n v="1235.3900000000001"/>
    <n v="101"/>
    <n v="599"/>
    <n v="9069"/>
    <n v="2.06"/>
    <n v="119"/>
    <n v="136"/>
    <n v="177"/>
    <m/>
    <m/>
    <s v=""/>
    <n v="1506"/>
    <n v="26"/>
    <n v="4"/>
    <n v="1.5384615384615385E-2"/>
  </r>
  <r>
    <x v="3"/>
    <x v="3"/>
    <n v="3405"/>
    <s v="Lillehammer"/>
    <n v="1235.18"/>
    <n v="102"/>
    <n v="451"/>
    <n v="29011"/>
    <n v="2.74"/>
    <n v="59"/>
    <n v="43"/>
    <n v="286"/>
    <m/>
    <m/>
    <s v=""/>
    <n v="1410"/>
    <n v="24"/>
    <n v="4"/>
    <n v="1.4201183431952662E-2"/>
  </r>
  <r>
    <x v="3"/>
    <x v="3"/>
    <n v="3434"/>
    <s v="Lom"/>
    <n v="1229.92"/>
    <n v="103"/>
    <n v="1887"/>
    <n v="2215"/>
    <n v="0.65"/>
    <n v="306"/>
    <n v="555"/>
    <n v="40"/>
    <m/>
    <m/>
    <s v=""/>
    <n v="2340"/>
    <n v="39"/>
    <n v="6"/>
    <n v="2.3076923076923078E-2"/>
  </r>
  <r>
    <x v="4"/>
    <x v="4"/>
    <n v="4203"/>
    <s v="Arendal"/>
    <n v="1212.8699999999999"/>
    <n v="104"/>
    <n v="255"/>
    <n v="46568"/>
    <n v="4.76"/>
    <n v="2"/>
    <n v="26"/>
    <n v="312"/>
    <m/>
    <m/>
    <s v=""/>
    <n v="1262"/>
    <n v="22"/>
    <n v="3"/>
    <n v="1.301775147928994E-2"/>
  </r>
  <r>
    <x v="9"/>
    <x v="9"/>
    <n v="1824"/>
    <s v="Vefsn"/>
    <n v="1183.48"/>
    <n v="105"/>
    <n v="1838"/>
    <n v="13475"/>
    <n v="0.64"/>
    <n v="308"/>
    <n v="88"/>
    <n v="231"/>
    <m/>
    <m/>
    <s v=""/>
    <n v="2266"/>
    <n v="38"/>
    <n v="6"/>
    <n v="2.2485207100591716E-2"/>
  </r>
  <r>
    <x v="1"/>
    <x v="1"/>
    <n v="5041"/>
    <s v="Snåase - Snåsa"/>
    <n v="1182.67"/>
    <n v="106"/>
    <n v="2146"/>
    <n v="2138"/>
    <n v="0.55000000000000004"/>
    <n v="320"/>
    <n v="553"/>
    <n v="41"/>
    <m/>
    <m/>
    <s v=""/>
    <n v="2466"/>
    <n v="42"/>
    <n v="6"/>
    <n v="2.4852071005917159E-2"/>
  </r>
  <r>
    <x v="3"/>
    <x v="3"/>
    <n v="3446"/>
    <s v="Gran"/>
    <n v="1181.75"/>
    <n v="107"/>
    <n v="657"/>
    <n v="13660"/>
    <n v="1.8"/>
    <n v="144"/>
    <n v="87"/>
    <n v="232"/>
    <m/>
    <m/>
    <s v=""/>
    <n v="1495"/>
    <n v="25"/>
    <n v="4"/>
    <n v="1.4792899408284023E-2"/>
  </r>
  <r>
    <x v="3"/>
    <x v="3"/>
    <n v="3407"/>
    <s v="Gjøvik"/>
    <n v="1180.56"/>
    <n v="108"/>
    <n v="629"/>
    <n v="31175"/>
    <n v="1.88"/>
    <n v="138"/>
    <n v="38"/>
    <n v="297"/>
    <m/>
    <m/>
    <s v=""/>
    <n v="1476"/>
    <n v="25"/>
    <n v="4"/>
    <n v="1.4792899408284023E-2"/>
  </r>
  <r>
    <x v="4"/>
    <x v="4"/>
    <n v="4221"/>
    <s v="Valle"/>
    <n v="1163.01"/>
    <n v="109"/>
    <n v="1130"/>
    <n v="1205"/>
    <n v="1.03"/>
    <n v="244"/>
    <n v="965"/>
    <n v="13"/>
    <m/>
    <m/>
    <s v=""/>
    <n v="1786"/>
    <n v="30"/>
    <n v="4"/>
    <n v="1.7751479289940829E-2"/>
  </r>
  <r>
    <x v="14"/>
    <x v="14"/>
    <n v="1563"/>
    <s v="Sunndal"/>
    <n v="1160.1300000000001"/>
    <n v="110"/>
    <n v="1648"/>
    <n v="7193"/>
    <n v="0.7"/>
    <n v="297"/>
    <n v="161"/>
    <n v="159"/>
    <m/>
    <m/>
    <s v=""/>
    <n v="2121"/>
    <n v="36"/>
    <n v="5"/>
    <n v="2.1301775147928994E-2"/>
  </r>
  <r>
    <x v="5"/>
    <x v="5"/>
    <n v="4611"/>
    <s v="Etne"/>
    <n v="1158.58"/>
    <n v="111"/>
    <n v="691"/>
    <n v="4093"/>
    <n v="1.68"/>
    <n v="158"/>
    <n v="283"/>
    <n v="106"/>
    <m/>
    <m/>
    <s v=""/>
    <n v="1497"/>
    <n v="25"/>
    <n v="4"/>
    <n v="1.4792899408284023E-2"/>
  </r>
  <r>
    <x v="1"/>
    <x v="1"/>
    <n v="5034"/>
    <s v="Meråker"/>
    <n v="1156.53"/>
    <n v="112"/>
    <n v="1188"/>
    <n v="2472"/>
    <n v="0.97"/>
    <n v="254"/>
    <n v="468"/>
    <n v="56"/>
    <m/>
    <m/>
    <s v=""/>
    <n v="1818"/>
    <n v="31"/>
    <n v="5"/>
    <n v="1.8343195266272188E-2"/>
  </r>
  <r>
    <x v="8"/>
    <x v="8"/>
    <n v="3903"/>
    <s v="Holmestrand"/>
    <n v="1155.1400000000001"/>
    <n v="113"/>
    <n v="412"/>
    <n v="27005"/>
    <n v="2.8"/>
    <n v="54"/>
    <n v="43"/>
    <n v="286"/>
    <m/>
    <m/>
    <s v=""/>
    <n v="1312"/>
    <n v="22"/>
    <n v="3"/>
    <n v="1.301775147928994E-2"/>
  </r>
  <r>
    <x v="4"/>
    <x v="4"/>
    <n v="4220"/>
    <s v="Bygland"/>
    <n v="1148.18"/>
    <n v="114"/>
    <n v="1150"/>
    <n v="1162"/>
    <n v="1"/>
    <n v="248"/>
    <n v="988"/>
    <n v="12"/>
    <m/>
    <m/>
    <s v=""/>
    <n v="1786"/>
    <n v="30"/>
    <n v="4"/>
    <n v="1.7751479289940829E-2"/>
  </r>
  <r>
    <x v="6"/>
    <x v="6"/>
    <n v="4034"/>
    <s v="Tokke"/>
    <n v="1141.51"/>
    <n v="115"/>
    <n v="905"/>
    <n v="2238"/>
    <n v="1.26"/>
    <n v="210"/>
    <n v="510"/>
    <n v="47"/>
    <m/>
    <m/>
    <s v=""/>
    <n v="1621"/>
    <n v="28"/>
    <n v="4"/>
    <n v="1.6568047337278107E-2"/>
  </r>
  <r>
    <x v="9"/>
    <x v="9"/>
    <n v="1840"/>
    <s v="Saltdal"/>
    <n v="1138.68"/>
    <n v="116"/>
    <n v="2084"/>
    <n v="4822"/>
    <n v="0.55000000000000004"/>
    <n v="320"/>
    <n v="236"/>
    <n v="127"/>
    <m/>
    <m/>
    <s v=""/>
    <n v="2386"/>
    <n v="40"/>
    <n v="6"/>
    <n v="2.3668639053254437E-2"/>
  </r>
  <r>
    <x v="5"/>
    <x v="5"/>
    <n v="4619"/>
    <s v="Eidfjord"/>
    <n v="1132.5999999999999"/>
    <n v="117"/>
    <n v="1388"/>
    <n v="967"/>
    <n v="0.82"/>
    <n v="281"/>
    <n v="1171"/>
    <n v="7"/>
    <m/>
    <m/>
    <s v=""/>
    <n v="1927"/>
    <n v="33"/>
    <n v="5"/>
    <n v="1.952662721893491E-2"/>
  </r>
  <r>
    <x v="7"/>
    <x v="7"/>
    <n v="5544"/>
    <s v="Nordreisa - Ráisa - Raisi"/>
    <n v="1127.31"/>
    <n v="118"/>
    <n v="3334"/>
    <n v="4810"/>
    <n v="0.34"/>
    <n v="348"/>
    <n v="234"/>
    <n v="128"/>
    <m/>
    <m/>
    <s v=""/>
    <n v="3189"/>
    <n v="54"/>
    <n v="8"/>
    <n v="3.1952662721893489E-2"/>
  </r>
  <r>
    <x v="0"/>
    <x v="0"/>
    <n v="5603"/>
    <s v="Hammerfest - Hámmerfeasta"/>
    <n v="1125.7"/>
    <n v="119"/>
    <n v="2558"/>
    <n v="11324"/>
    <n v="0.44"/>
    <n v="335"/>
    <n v="99"/>
    <n v="216"/>
    <m/>
    <m/>
    <s v=""/>
    <n v="2682"/>
    <n v="45"/>
    <n v="6"/>
    <n v="2.6627218934911243E-2"/>
  </r>
  <r>
    <x v="5"/>
    <x v="5"/>
    <n v="4617"/>
    <s v="Kvinnherad"/>
    <n v="1118.43"/>
    <n v="120"/>
    <n v="1042"/>
    <n v="13175"/>
    <n v="1.07"/>
    <n v="236"/>
    <n v="85"/>
    <n v="235"/>
    <m/>
    <m/>
    <s v=""/>
    <n v="1689"/>
    <n v="29"/>
    <n v="4"/>
    <n v="1.7159763313609466E-2"/>
  </r>
  <r>
    <x v="1"/>
    <x v="1"/>
    <n v="5028"/>
    <s v="Melhus"/>
    <n v="1118.2"/>
    <n v="121"/>
    <n v="653"/>
    <n v="17812"/>
    <n v="1.71"/>
    <n v="150"/>
    <n v="63"/>
    <n v="261"/>
    <m/>
    <m/>
    <s v=""/>
    <n v="1435"/>
    <n v="24"/>
    <n v="4"/>
    <n v="1.4201183431952662E-2"/>
  </r>
  <r>
    <x v="7"/>
    <x v="7"/>
    <n v="5520"/>
    <s v="Bardu"/>
    <n v="1106.08"/>
    <n v="122"/>
    <n v="2514"/>
    <n v="3961"/>
    <n v="0.44"/>
    <n v="335"/>
    <n v="279"/>
    <n v="109"/>
    <m/>
    <m/>
    <s v=""/>
    <n v="2636"/>
    <n v="44"/>
    <n v="6"/>
    <n v="2.6035502958579881E-2"/>
  </r>
  <r>
    <x v="3"/>
    <x v="3"/>
    <n v="3413"/>
    <s v="Stange"/>
    <n v="1098.96"/>
    <n v="123"/>
    <n v="641"/>
    <n v="21691"/>
    <n v="1.71"/>
    <n v="150"/>
    <n v="51"/>
    <n v="270"/>
    <m/>
    <m/>
    <s v=""/>
    <n v="1410"/>
    <n v="24"/>
    <n v="4"/>
    <n v="1.4201183431952662E-2"/>
  </r>
  <r>
    <x v="1"/>
    <x v="1"/>
    <n v="5058"/>
    <s v="Åfjord"/>
    <n v="1098.51"/>
    <n v="124"/>
    <n v="1251"/>
    <n v="4342"/>
    <n v="0.88"/>
    <n v="268"/>
    <n v="253"/>
    <n v="118"/>
    <m/>
    <m/>
    <s v=""/>
    <n v="1807"/>
    <n v="31"/>
    <n v="5"/>
    <n v="1.8343195266272188E-2"/>
  </r>
  <r>
    <x v="3"/>
    <x v="3"/>
    <n v="3433"/>
    <s v="Skjåk"/>
    <n v="1090.5999999999999"/>
    <n v="125"/>
    <n v="1965"/>
    <n v="2179"/>
    <n v="0.56000000000000005"/>
    <n v="318"/>
    <n v="501"/>
    <n v="51"/>
    <m/>
    <m/>
    <s v=""/>
    <n v="2265"/>
    <n v="38"/>
    <n v="6"/>
    <n v="2.2485207100591716E-2"/>
  </r>
  <r>
    <x v="4"/>
    <x v="4"/>
    <n v="4207"/>
    <s v="Flekkefjord"/>
    <n v="1088.67"/>
    <n v="126"/>
    <n v="482"/>
    <n v="9329"/>
    <n v="2.2599999999999998"/>
    <n v="99"/>
    <n v="117"/>
    <n v="198"/>
    <m/>
    <m/>
    <s v=""/>
    <n v="1297"/>
    <n v="22"/>
    <n v="3"/>
    <n v="1.301775147928994E-2"/>
  </r>
  <r>
    <x v="4"/>
    <x v="4"/>
    <n v="4228"/>
    <s v="Sirdal"/>
    <n v="1082.7"/>
    <n v="127"/>
    <n v="1373"/>
    <n v="1902"/>
    <n v="0.79"/>
    <n v="288"/>
    <n v="569"/>
    <n v="37"/>
    <m/>
    <m/>
    <s v=""/>
    <n v="1872"/>
    <n v="32"/>
    <n v="5"/>
    <n v="1.8934911242603551E-2"/>
  </r>
  <r>
    <x v="4"/>
    <x v="4"/>
    <n v="4223"/>
    <s v="Vennesla"/>
    <n v="1082.58"/>
    <n v="128"/>
    <n v="362"/>
    <n v="15622"/>
    <n v="2.99"/>
    <n v="43"/>
    <n v="69"/>
    <n v="251"/>
    <m/>
    <m/>
    <s v=""/>
    <n v="1214"/>
    <n v="21"/>
    <n v="3"/>
    <n v="1.242603550295858E-2"/>
  </r>
  <r>
    <x v="2"/>
    <x v="2"/>
    <n v="3301"/>
    <s v="Drammen"/>
    <n v="1077.76"/>
    <n v="129"/>
    <n v="305"/>
    <n v="105452"/>
    <n v="3.53"/>
    <n v="19"/>
    <n v="10"/>
    <n v="344"/>
    <m/>
    <m/>
    <s v=""/>
    <n v="1172"/>
    <n v="20"/>
    <n v="3"/>
    <n v="1.1834319526627219E-2"/>
  </r>
  <r>
    <x v="5"/>
    <x v="5"/>
    <n v="4651"/>
    <s v="Stryn"/>
    <n v="1075.74"/>
    <n v="130"/>
    <n v="1326"/>
    <n v="7311"/>
    <n v="0.81"/>
    <n v="283"/>
    <n v="147"/>
    <n v="168"/>
    <m/>
    <m/>
    <s v=""/>
    <n v="1835"/>
    <n v="31"/>
    <n v="5"/>
    <n v="1.8343195266272188E-2"/>
  </r>
  <r>
    <x v="2"/>
    <x v="2"/>
    <n v="3320"/>
    <s v="Flå"/>
    <n v="1065.49"/>
    <n v="131"/>
    <n v="671"/>
    <n v="1117"/>
    <n v="1.59"/>
    <n v="166"/>
    <n v="954"/>
    <n v="14"/>
    <m/>
    <m/>
    <s v=""/>
    <n v="1399"/>
    <n v="24"/>
    <n v="4"/>
    <n v="1.4201183431952662E-2"/>
  </r>
  <r>
    <x v="6"/>
    <x v="6"/>
    <n v="4024"/>
    <s v="Hjartdal"/>
    <n v="1055.6600000000001"/>
    <n v="132"/>
    <n v="737"/>
    <n v="1646"/>
    <n v="1.43"/>
    <n v="186"/>
    <n v="641"/>
    <n v="28"/>
    <m/>
    <m/>
    <s v=""/>
    <n v="1434"/>
    <n v="24"/>
    <n v="4"/>
    <n v="1.4201183431952662E-2"/>
  </r>
  <r>
    <x v="12"/>
    <x v="12"/>
    <n v="3205"/>
    <s v="Lillestrøm"/>
    <n v="1054.8900000000001"/>
    <n v="133"/>
    <n v="410"/>
    <n v="95762"/>
    <n v="2.57"/>
    <n v="74"/>
    <n v="11"/>
    <n v="341"/>
    <m/>
    <m/>
    <s v=""/>
    <n v="1220"/>
    <n v="21"/>
    <n v="3"/>
    <n v="1.242603550295858E-2"/>
  </r>
  <r>
    <x v="7"/>
    <x v="7"/>
    <n v="5512"/>
    <s v="Dielddanuorri - Tjeldsund"/>
    <n v="1053.1300000000001"/>
    <n v="134"/>
    <n v="775"/>
    <n v="4209"/>
    <n v="1.36"/>
    <n v="196"/>
    <n v="250"/>
    <n v="119"/>
    <m/>
    <m/>
    <s v=""/>
    <n v="1456"/>
    <n v="25"/>
    <n v="4"/>
    <n v="1.4792899408284023E-2"/>
  </r>
  <r>
    <x v="4"/>
    <x v="4"/>
    <n v="4212"/>
    <s v="Vegårshei"/>
    <n v="1046.56"/>
    <n v="135"/>
    <n v="322"/>
    <n v="2285"/>
    <n v="3.25"/>
    <n v="34"/>
    <n v="458"/>
    <n v="59"/>
    <m/>
    <m/>
    <s v=""/>
    <n v="1155"/>
    <n v="20"/>
    <n v="3"/>
    <n v="1.1834319526627219E-2"/>
  </r>
  <r>
    <x v="2"/>
    <x v="2"/>
    <n v="3326"/>
    <s v="Hemsedal"/>
    <n v="1039.28"/>
    <n v="136"/>
    <n v="712"/>
    <n v="2685"/>
    <n v="1.46"/>
    <n v="179"/>
    <n v="387"/>
    <n v="70"/>
    <m/>
    <m/>
    <s v=""/>
    <n v="1403"/>
    <n v="24"/>
    <n v="4"/>
    <n v="1.4201183431952662E-2"/>
  </r>
  <r>
    <x v="1"/>
    <x v="1"/>
    <n v="5060"/>
    <s v="Nærøysund"/>
    <n v="1036.25"/>
    <n v="137"/>
    <n v="1286"/>
    <n v="9921"/>
    <n v="0.81"/>
    <n v="283"/>
    <n v="104"/>
    <n v="211"/>
    <m/>
    <m/>
    <s v=""/>
    <n v="1773"/>
    <n v="30"/>
    <n v="4"/>
    <n v="1.7751479289940829E-2"/>
  </r>
  <r>
    <x v="9"/>
    <x v="9"/>
    <n v="1871"/>
    <s v="Andøy"/>
    <n v="1034.32"/>
    <n v="138"/>
    <n v="617"/>
    <n v="4542"/>
    <n v="1.68"/>
    <n v="158"/>
    <n v="228"/>
    <n v="130"/>
    <m/>
    <m/>
    <s v=""/>
    <n v="1336"/>
    <n v="23"/>
    <n v="4"/>
    <n v="1.3609467455621301E-2"/>
  </r>
  <r>
    <x v="14"/>
    <x v="14"/>
    <n v="1579"/>
    <s v="Hustadvika"/>
    <n v="1033.17"/>
    <n v="139"/>
    <n v="508"/>
    <n v="13460"/>
    <n v="2.0299999999999998"/>
    <n v="121"/>
    <n v="77"/>
    <n v="238"/>
    <m/>
    <m/>
    <s v=""/>
    <n v="1264"/>
    <n v="22"/>
    <n v="3"/>
    <n v="1.301775147928994E-2"/>
  </r>
  <r>
    <x v="1"/>
    <x v="1"/>
    <n v="5026"/>
    <s v="Holtålen"/>
    <n v="1032.47"/>
    <n v="140"/>
    <n v="1171"/>
    <n v="2048"/>
    <n v="0.88"/>
    <n v="268"/>
    <n v="504"/>
    <n v="49"/>
    <m/>
    <m/>
    <s v=""/>
    <n v="1695"/>
    <n v="29"/>
    <n v="4"/>
    <n v="1.7159763313609466E-2"/>
  </r>
  <r>
    <x v="0"/>
    <x v="0"/>
    <n v="5636"/>
    <s v="Unjárga - Nesseby"/>
    <n v="1030.1600000000001"/>
    <n v="141"/>
    <n v="1363"/>
    <n v="868"/>
    <n v="0.76"/>
    <n v="290"/>
    <n v="1187"/>
    <n v="6"/>
    <m/>
    <m/>
    <s v=""/>
    <n v="1818"/>
    <n v="31"/>
    <n v="5"/>
    <n v="1.8343195266272188E-2"/>
  </r>
  <r>
    <x v="1"/>
    <x v="1"/>
    <n v="5032"/>
    <s v="Selbu"/>
    <n v="1028.79"/>
    <n v="142"/>
    <n v="1140"/>
    <n v="4233"/>
    <n v="0.9"/>
    <n v="264"/>
    <n v="243"/>
    <n v="124"/>
    <m/>
    <m/>
    <s v=""/>
    <n v="1672"/>
    <n v="28"/>
    <n v="4"/>
    <n v="1.6568047337278107E-2"/>
  </r>
  <r>
    <x v="13"/>
    <x v="13"/>
    <n v="3105"/>
    <s v="Sarpsborg"/>
    <n v="1027.46"/>
    <n v="143"/>
    <n v="370"/>
    <n v="60139"/>
    <n v="2.78"/>
    <n v="56"/>
    <n v="17"/>
    <n v="326"/>
    <m/>
    <m/>
    <s v=""/>
    <n v="1169"/>
    <n v="20"/>
    <n v="3"/>
    <n v="1.1834319526627219E-2"/>
  </r>
  <r>
    <x v="11"/>
    <x v="11"/>
    <n v="1133"/>
    <s v="Hjelmeland"/>
    <n v="1018.14"/>
    <n v="144"/>
    <n v="948"/>
    <n v="2681"/>
    <n v="1.07"/>
    <n v="236"/>
    <n v="380"/>
    <n v="72"/>
    <m/>
    <m/>
    <s v=""/>
    <n v="1537"/>
    <n v="26"/>
    <n v="4"/>
    <n v="1.5384615384615385E-2"/>
  </r>
  <r>
    <x v="11"/>
    <x v="11"/>
    <n v="1114"/>
    <s v="Bjerkreim"/>
    <n v="1016.71"/>
    <n v="145"/>
    <n v="577"/>
    <n v="2905"/>
    <n v="1.76"/>
    <n v="147"/>
    <n v="350"/>
    <n v="89"/>
    <m/>
    <m/>
    <s v=""/>
    <n v="1294"/>
    <n v="22"/>
    <n v="3"/>
    <n v="1.301775147928994E-2"/>
  </r>
  <r>
    <x v="2"/>
    <x v="2"/>
    <n v="3334"/>
    <s v="Flesberg"/>
    <n v="1009.34"/>
    <n v="146"/>
    <n v="538"/>
    <n v="2797"/>
    <n v="1.88"/>
    <n v="138"/>
    <n v="361"/>
    <n v="81"/>
    <m/>
    <m/>
    <s v=""/>
    <n v="1262"/>
    <n v="22"/>
    <n v="3"/>
    <n v="1.301775147928994E-2"/>
  </r>
  <r>
    <x v="0"/>
    <x v="0"/>
    <n v="5607"/>
    <s v="Vadsø"/>
    <n v="1001.43"/>
    <n v="147"/>
    <n v="1233"/>
    <n v="5777"/>
    <n v="0.81"/>
    <n v="283"/>
    <n v="173"/>
    <n v="154"/>
    <m/>
    <m/>
    <s v=""/>
    <n v="1708"/>
    <n v="29"/>
    <n v="4"/>
    <n v="1.7159763313609466E-2"/>
  </r>
  <r>
    <x v="13"/>
    <x v="13"/>
    <n v="3107"/>
    <s v="Fredrikstad"/>
    <n v="988.5"/>
    <n v="148"/>
    <n v="284"/>
    <n v="85862"/>
    <n v="3.48"/>
    <n v="22"/>
    <n v="12"/>
    <n v="339"/>
    <m/>
    <m/>
    <s v=""/>
    <n v="1078"/>
    <n v="18"/>
    <n v="3"/>
    <n v="1.0650887573964497E-2"/>
  </r>
  <r>
    <x v="3"/>
    <x v="3"/>
    <n v="3430"/>
    <s v="Os"/>
    <n v="984.16"/>
    <n v="149"/>
    <n v="1007"/>
    <n v="1895"/>
    <n v="0.98"/>
    <n v="252"/>
    <n v="519"/>
    <n v="44"/>
    <m/>
    <m/>
    <s v=""/>
    <n v="1545"/>
    <n v="26"/>
    <n v="4"/>
    <n v="1.5384615384615385E-2"/>
  </r>
  <r>
    <x v="5"/>
    <x v="5"/>
    <n v="4624"/>
    <s v="Bjørnafjorden"/>
    <n v="975.99"/>
    <n v="150"/>
    <n v="487"/>
    <n v="26342"/>
    <n v="2"/>
    <n v="126"/>
    <n v="37"/>
    <n v="298"/>
    <m/>
    <m/>
    <s v=""/>
    <n v="1199"/>
    <n v="20"/>
    <n v="3"/>
    <n v="1.1834319526627219E-2"/>
  </r>
  <r>
    <x v="8"/>
    <x v="8"/>
    <n v="3905"/>
    <s v="Tønsberg"/>
    <n v="975.43"/>
    <n v="151"/>
    <n v="326"/>
    <n v="59830"/>
    <n v="2.99"/>
    <n v="43"/>
    <n v="16"/>
    <n v="330"/>
    <m/>
    <m/>
    <s v=""/>
    <n v="1094"/>
    <n v="19"/>
    <n v="3"/>
    <n v="1.1242603550295858E-2"/>
  </r>
  <r>
    <x v="5"/>
    <x v="5"/>
    <n v="4626"/>
    <s v="Øygarden"/>
    <n v="971.5"/>
    <n v="152"/>
    <n v="300"/>
    <n v="40105"/>
    <n v="3.24"/>
    <n v="35"/>
    <n v="24"/>
    <n v="316"/>
    <m/>
    <m/>
    <s v=""/>
    <n v="1073"/>
    <n v="18"/>
    <n v="3"/>
    <n v="1.0650887573964497E-2"/>
  </r>
  <r>
    <x v="3"/>
    <x v="3"/>
    <n v="3416"/>
    <s v="Eidskog"/>
    <n v="970.57"/>
    <n v="153"/>
    <n v="603"/>
    <n v="6059"/>
    <n v="1.61"/>
    <n v="162"/>
    <n v="160"/>
    <n v="160"/>
    <m/>
    <m/>
    <s v=""/>
    <n v="1269"/>
    <n v="22"/>
    <n v="3"/>
    <n v="1.301775147928994E-2"/>
  </r>
  <r>
    <x v="6"/>
    <x v="6"/>
    <n v="4032"/>
    <s v="Fyresdal"/>
    <n v="968.84"/>
    <n v="154"/>
    <n v="1107"/>
    <n v="1256"/>
    <n v="0.88"/>
    <n v="268"/>
    <n v="771"/>
    <n v="17"/>
    <m/>
    <m/>
    <s v=""/>
    <n v="1596"/>
    <n v="27"/>
    <n v="4"/>
    <n v="1.5976331360946745E-2"/>
  </r>
  <r>
    <x v="3"/>
    <x v="3"/>
    <n v="3418"/>
    <s v="Åsnes"/>
    <n v="967.29"/>
    <n v="155"/>
    <n v="1004"/>
    <n v="7247"/>
    <n v="0.96"/>
    <n v="257"/>
    <n v="133"/>
    <n v="179"/>
    <m/>
    <m/>
    <s v=""/>
    <n v="1528"/>
    <n v="26"/>
    <n v="4"/>
    <n v="1.5384615384615385E-2"/>
  </r>
  <r>
    <x v="3"/>
    <x v="3"/>
    <n v="3442"/>
    <s v="Østre Toten"/>
    <n v="964.03"/>
    <n v="156"/>
    <n v="485"/>
    <n v="14827"/>
    <n v="1.99"/>
    <n v="128"/>
    <n v="65"/>
    <n v="259"/>
    <m/>
    <m/>
    <s v=""/>
    <n v="1187"/>
    <n v="20"/>
    <n v="3"/>
    <n v="1.1834319526627219E-2"/>
  </r>
  <r>
    <x v="3"/>
    <x v="3"/>
    <n v="3415"/>
    <s v="Sør-Odal"/>
    <n v="960.99"/>
    <n v="157"/>
    <n v="479"/>
    <n v="8150"/>
    <n v="2.0099999999999998"/>
    <n v="125"/>
    <n v="118"/>
    <n v="197"/>
    <m/>
    <m/>
    <s v=""/>
    <n v="1180"/>
    <n v="20"/>
    <n v="3"/>
    <n v="1.1834319526627219E-2"/>
  </r>
  <r>
    <x v="6"/>
    <x v="6"/>
    <n v="4030"/>
    <s v="Nissedal"/>
    <n v="960.64"/>
    <n v="158"/>
    <n v="786"/>
    <n v="1486"/>
    <n v="1.22"/>
    <n v="217"/>
    <n v="646"/>
    <n v="27"/>
    <m/>
    <m/>
    <s v=""/>
    <n v="1380"/>
    <n v="23"/>
    <n v="4"/>
    <n v="1.3609467455621301E-2"/>
  </r>
  <r>
    <x v="5"/>
    <x v="5"/>
    <n v="4602"/>
    <s v="Kinn"/>
    <n v="954.96"/>
    <n v="159"/>
    <n v="763"/>
    <n v="17419"/>
    <n v="1.25"/>
    <n v="212"/>
    <n v="55"/>
    <n v="268"/>
    <m/>
    <m/>
    <s v=""/>
    <n v="1360"/>
    <n v="23"/>
    <n v="4"/>
    <n v="1.3609467455621301E-2"/>
  </r>
  <r>
    <x v="5"/>
    <x v="5"/>
    <n v="4641"/>
    <s v="Aurland"/>
    <n v="951.96"/>
    <n v="160"/>
    <n v="1376"/>
    <n v="1836"/>
    <n v="0.69"/>
    <n v="299"/>
    <n v="518"/>
    <n v="45"/>
    <m/>
    <m/>
    <s v=""/>
    <n v="1756"/>
    <n v="30"/>
    <n v="4"/>
    <n v="1.7751479289940829E-2"/>
  </r>
  <r>
    <x v="3"/>
    <x v="3"/>
    <n v="3419"/>
    <s v="Våler"/>
    <n v="939.14"/>
    <n v="161"/>
    <n v="678"/>
    <n v="3559"/>
    <n v="1.39"/>
    <n v="192"/>
    <n v="264"/>
    <n v="115"/>
    <m/>
    <m/>
    <s v=""/>
    <n v="1290"/>
    <n v="22"/>
    <n v="3"/>
    <n v="1.301775147928994E-2"/>
  </r>
  <r>
    <x v="4"/>
    <x v="4"/>
    <n v="4219"/>
    <s v="Evje og Hornnes"/>
    <n v="936.03"/>
    <n v="162"/>
    <n v="549"/>
    <n v="3828"/>
    <n v="1.7"/>
    <n v="153"/>
    <n v="245"/>
    <n v="120"/>
    <m/>
    <m/>
    <s v=""/>
    <n v="1203"/>
    <n v="21"/>
    <n v="3"/>
    <n v="1.242603550295858E-2"/>
  </r>
  <r>
    <x v="5"/>
    <x v="5"/>
    <n v="4650"/>
    <s v="Gloppen"/>
    <n v="932.87"/>
    <n v="163"/>
    <n v="963"/>
    <n v="5936"/>
    <n v="0.97"/>
    <n v="254"/>
    <n v="157"/>
    <n v="163"/>
    <m/>
    <m/>
    <s v=""/>
    <n v="1470"/>
    <n v="25"/>
    <n v="4"/>
    <n v="1.4792899408284023E-2"/>
  </r>
  <r>
    <x v="3"/>
    <x v="3"/>
    <n v="3450"/>
    <s v="Etnedal"/>
    <n v="929.71"/>
    <n v="164"/>
    <n v="443"/>
    <n v="1254"/>
    <n v="2.1"/>
    <n v="115"/>
    <n v="741"/>
    <n v="21"/>
    <m/>
    <m/>
    <s v=""/>
    <n v="1128"/>
    <n v="19"/>
    <n v="3"/>
    <n v="1.1242603550295858E-2"/>
  </r>
  <r>
    <x v="2"/>
    <x v="2"/>
    <n v="3314"/>
    <s v="Øvre Eiker"/>
    <n v="920.49"/>
    <n v="165"/>
    <n v="418"/>
    <n v="20861"/>
    <n v="2.2000000000000002"/>
    <n v="107"/>
    <n v="44"/>
    <n v="284"/>
    <m/>
    <m/>
    <s v=""/>
    <n v="1104"/>
    <n v="19"/>
    <n v="3"/>
    <n v="1.1242603550295858E-2"/>
  </r>
  <r>
    <x v="1"/>
    <x v="1"/>
    <n v="5053"/>
    <s v="Inderøy"/>
    <n v="917.64"/>
    <n v="166"/>
    <n v="351"/>
    <n v="7031"/>
    <n v="2.61"/>
    <n v="71"/>
    <n v="131"/>
    <n v="181"/>
    <m/>
    <m/>
    <s v=""/>
    <n v="1058"/>
    <n v="18"/>
    <n v="3"/>
    <n v="1.0650887573964497E-2"/>
  </r>
  <r>
    <x v="1"/>
    <x v="1"/>
    <n v="5045"/>
    <s v="Grong"/>
    <n v="917.3"/>
    <n v="167"/>
    <n v="1095"/>
    <n v="2314"/>
    <n v="0.84"/>
    <n v="279"/>
    <n v="396"/>
    <n v="69"/>
    <m/>
    <m/>
    <s v=""/>
    <n v="1542"/>
    <n v="26"/>
    <n v="4"/>
    <n v="1.5384615384615385E-2"/>
  </r>
  <r>
    <x v="4"/>
    <x v="4"/>
    <n v="4214"/>
    <s v="Froland"/>
    <n v="912.82"/>
    <n v="168"/>
    <n v="601"/>
    <n v="6260"/>
    <n v="1.52"/>
    <n v="174"/>
    <n v="146"/>
    <n v="171"/>
    <m/>
    <m/>
    <s v=""/>
    <n v="1216"/>
    <n v="21"/>
    <n v="3"/>
    <n v="1.242603550295858E-2"/>
  </r>
  <r>
    <x v="6"/>
    <x v="6"/>
    <n v="4028"/>
    <s v="Kviteseid"/>
    <n v="907.25"/>
    <n v="169"/>
    <n v="623"/>
    <n v="2473"/>
    <n v="1.46"/>
    <n v="179"/>
    <n v="367"/>
    <n v="78"/>
    <m/>
    <m/>
    <s v=""/>
    <n v="1225"/>
    <n v="21"/>
    <n v="3"/>
    <n v="1.242603550295858E-2"/>
  </r>
  <r>
    <x v="7"/>
    <x v="7"/>
    <n v="5534"/>
    <s v="Karlsøy"/>
    <n v="907.04"/>
    <n v="170"/>
    <n v="1051"/>
    <n v="2223"/>
    <n v="0.86"/>
    <n v="273"/>
    <n v="408"/>
    <n v="67"/>
    <m/>
    <m/>
    <s v=""/>
    <n v="1504"/>
    <n v="26"/>
    <n v="4"/>
    <n v="1.5384615384615385E-2"/>
  </r>
  <r>
    <x v="11"/>
    <x v="11"/>
    <n v="1122"/>
    <s v="Gjesdal"/>
    <n v="904.7"/>
    <n v="171"/>
    <n v="558"/>
    <n v="12536"/>
    <n v="1.62"/>
    <n v="161"/>
    <n v="72"/>
    <n v="246"/>
    <m/>
    <m/>
    <s v=""/>
    <n v="1181"/>
    <n v="20"/>
    <n v="3"/>
    <n v="1.1834319526627219E-2"/>
  </r>
  <r>
    <x v="11"/>
    <x v="11"/>
    <n v="1146"/>
    <s v="Tysvær"/>
    <n v="902.17"/>
    <n v="172"/>
    <n v="400"/>
    <n v="11715"/>
    <n v="2.2599999999999998"/>
    <n v="99"/>
    <n v="77"/>
    <n v="238"/>
    <m/>
    <m/>
    <s v=""/>
    <n v="1076"/>
    <n v="18"/>
    <n v="3"/>
    <n v="1.0650887573964497E-2"/>
  </r>
  <r>
    <x v="11"/>
    <x v="11"/>
    <n v="1103"/>
    <s v="Stavanger"/>
    <n v="876.87"/>
    <n v="173"/>
    <n v="256"/>
    <n v="150123"/>
    <n v="3.43"/>
    <n v="27"/>
    <n v="6"/>
    <n v="352"/>
    <m/>
    <m/>
    <s v=""/>
    <n v="959"/>
    <n v="16"/>
    <n v="3"/>
    <n v="9.4674556213017753E-3"/>
  </r>
  <r>
    <x v="14"/>
    <x v="14"/>
    <n v="1520"/>
    <s v="Ørsta"/>
    <n v="873.79"/>
    <n v="174"/>
    <n v="650"/>
    <n v="11055"/>
    <n v="1.34"/>
    <n v="198"/>
    <n v="79"/>
    <n v="237"/>
    <m/>
    <m/>
    <s v=""/>
    <n v="1213"/>
    <n v="21"/>
    <n v="3"/>
    <n v="1.242603550295858E-2"/>
  </r>
  <r>
    <x v="9"/>
    <x v="9"/>
    <n v="1832"/>
    <s v="Hemnes"/>
    <n v="869.1"/>
    <n v="175"/>
    <n v="1430"/>
    <n v="4485"/>
    <n v="0.61"/>
    <n v="313"/>
    <n v="194"/>
    <n v="143"/>
    <m/>
    <m/>
    <s v=""/>
    <n v="1716"/>
    <n v="29"/>
    <n v="4"/>
    <n v="1.7159763313609466E-2"/>
  </r>
  <r>
    <x v="3"/>
    <x v="3"/>
    <n v="3417"/>
    <s v="Grue"/>
    <n v="868.74"/>
    <n v="176"/>
    <n v="777"/>
    <n v="4513"/>
    <n v="1.1200000000000001"/>
    <n v="226"/>
    <n v="192"/>
    <n v="144"/>
    <m/>
    <m/>
    <s v=""/>
    <n v="1291"/>
    <n v="22"/>
    <n v="3"/>
    <n v="1.301775147928994E-2"/>
  </r>
  <r>
    <x v="14"/>
    <x v="14"/>
    <n v="1577"/>
    <s v="Volda"/>
    <n v="860.16"/>
    <n v="177"/>
    <n v="834"/>
    <n v="11131"/>
    <n v="1.03"/>
    <n v="244"/>
    <n v="77"/>
    <n v="238"/>
    <m/>
    <m/>
    <s v=""/>
    <n v="1320"/>
    <n v="22"/>
    <n v="3"/>
    <n v="1.301775147928994E-2"/>
  </r>
  <r>
    <x v="5"/>
    <x v="5"/>
    <n v="4639"/>
    <s v="Vik"/>
    <n v="856.15"/>
    <n v="178"/>
    <n v="795"/>
    <n v="2550"/>
    <n v="1.08"/>
    <n v="234"/>
    <n v="336"/>
    <n v="92"/>
    <m/>
    <m/>
    <s v=""/>
    <n v="1291"/>
    <n v="22"/>
    <n v="3"/>
    <n v="1.301775147928994E-2"/>
  </r>
  <r>
    <x v="9"/>
    <x v="9"/>
    <n v="1826"/>
    <s v="Aarborte - Hattfjelldal"/>
    <n v="854.25"/>
    <n v="179"/>
    <n v="2411"/>
    <n v="1274"/>
    <n v="0.35"/>
    <n v="345"/>
    <n v="671"/>
    <n v="25"/>
    <m/>
    <m/>
    <s v=""/>
    <n v="2341"/>
    <n v="40"/>
    <n v="6"/>
    <n v="2.3668639053254437E-2"/>
  </r>
  <r>
    <x v="2"/>
    <x v="2"/>
    <n v="3336"/>
    <s v="Rollag"/>
    <n v="852.55"/>
    <n v="180"/>
    <n v="430"/>
    <n v="1414"/>
    <n v="1.98"/>
    <n v="130"/>
    <n v="603"/>
    <n v="35"/>
    <m/>
    <m/>
    <s v=""/>
    <n v="1050"/>
    <n v="18"/>
    <n v="3"/>
    <n v="1.0650887573964497E-2"/>
  </r>
  <r>
    <x v="2"/>
    <x v="2"/>
    <n v="3318"/>
    <s v="Krødsherad"/>
    <n v="837.06"/>
    <n v="181"/>
    <n v="340"/>
    <n v="2235"/>
    <n v="2.46"/>
    <n v="82"/>
    <n v="375"/>
    <n v="76"/>
    <m/>
    <m/>
    <s v=""/>
    <n v="978"/>
    <n v="17"/>
    <n v="3"/>
    <n v="1.0059171597633136E-2"/>
  </r>
  <r>
    <x v="14"/>
    <x v="14"/>
    <n v="1578"/>
    <s v="Fjord"/>
    <n v="834.03"/>
    <n v="182"/>
    <n v="1143"/>
    <n v="2506"/>
    <n v="0.73"/>
    <n v="295"/>
    <n v="333"/>
    <n v="94"/>
    <m/>
    <m/>
    <s v=""/>
    <n v="1498"/>
    <n v="25"/>
    <n v="4"/>
    <n v="1.4792899408284023E-2"/>
  </r>
  <r>
    <x v="1"/>
    <x v="1"/>
    <n v="5056"/>
    <s v="Hitra"/>
    <n v="833.69"/>
    <n v="183"/>
    <n v="715"/>
    <n v="5414"/>
    <n v="1.17"/>
    <n v="222"/>
    <n v="154"/>
    <n v="165"/>
    <m/>
    <m/>
    <s v=""/>
    <n v="1219"/>
    <n v="21"/>
    <n v="3"/>
    <n v="1.242603550295858E-2"/>
  </r>
  <r>
    <x v="12"/>
    <x v="12"/>
    <n v="3240"/>
    <s v="Eidsvoll"/>
    <n v="830.41"/>
    <n v="184"/>
    <n v="386"/>
    <n v="28352"/>
    <n v="2.15"/>
    <n v="111"/>
    <n v="29"/>
    <n v="305"/>
    <m/>
    <m/>
    <s v=""/>
    <n v="1002"/>
    <n v="17"/>
    <n v="3"/>
    <n v="1.0059171597633136E-2"/>
  </r>
  <r>
    <x v="4"/>
    <x v="4"/>
    <n v="4211"/>
    <s v="Gjerstad"/>
    <n v="822.19"/>
    <n v="185"/>
    <n v="308"/>
    <n v="2492"/>
    <n v="2.67"/>
    <n v="65"/>
    <n v="330"/>
    <n v="95"/>
    <m/>
    <m/>
    <s v=""/>
    <n v="943"/>
    <n v="16"/>
    <n v="3"/>
    <n v="9.4674556213017753E-3"/>
  </r>
  <r>
    <x v="2"/>
    <x v="2"/>
    <n v="3312"/>
    <s v="Lier"/>
    <n v="822.18"/>
    <n v="186"/>
    <n v="282"/>
    <n v="28642"/>
    <n v="2.92"/>
    <n v="46"/>
    <n v="29"/>
    <n v="305"/>
    <m/>
    <m/>
    <s v=""/>
    <n v="926"/>
    <n v="16"/>
    <n v="3"/>
    <n v="9.4674556213017753E-3"/>
  </r>
  <r>
    <x v="4"/>
    <x v="4"/>
    <n v="4213"/>
    <s v="Tvedestrand"/>
    <n v="816.78"/>
    <n v="187"/>
    <n v="212"/>
    <n v="6464"/>
    <n v="3.85"/>
    <n v="8"/>
    <n v="126"/>
    <n v="188"/>
    <m/>
    <m/>
    <s v=""/>
    <n v="876"/>
    <n v="15"/>
    <n v="2"/>
    <n v="8.8757396449704144E-3"/>
  </r>
  <r>
    <x v="1"/>
    <x v="1"/>
    <n v="5042"/>
    <s v="Lierne"/>
    <n v="815.32"/>
    <n v="188"/>
    <n v="2630"/>
    <n v="1316"/>
    <n v="0.31"/>
    <n v="351"/>
    <n v="620"/>
    <n v="32"/>
    <m/>
    <m/>
    <s v=""/>
    <n v="2449"/>
    <n v="41"/>
    <n v="6"/>
    <n v="2.42603550295858E-2"/>
  </r>
  <r>
    <x v="5"/>
    <x v="5"/>
    <n v="4630"/>
    <s v="Osterøy"/>
    <n v="801.64"/>
    <n v="189"/>
    <n v="244"/>
    <n v="8172"/>
    <n v="3.29"/>
    <n v="31"/>
    <n v="98"/>
    <n v="217"/>
    <m/>
    <m/>
    <s v=""/>
    <n v="883"/>
    <n v="15"/>
    <n v="2"/>
    <n v="8.8757396449704144E-3"/>
  </r>
  <r>
    <x v="14"/>
    <x v="14"/>
    <n v="1508"/>
    <s v="Ålesund"/>
    <n v="788.97"/>
    <n v="190"/>
    <n v="353"/>
    <n v="59198"/>
    <n v="2.2400000000000002"/>
    <n v="102"/>
    <n v="13"/>
    <n v="335"/>
    <m/>
    <m/>
    <s v=""/>
    <n v="943"/>
    <n v="16"/>
    <n v="3"/>
    <n v="9.4674556213017753E-3"/>
  </r>
  <r>
    <x v="11"/>
    <x v="11"/>
    <n v="1119"/>
    <s v="Hå"/>
    <n v="786.17"/>
    <n v="191"/>
    <n v="248"/>
    <n v="20067"/>
    <n v="3.17"/>
    <n v="36"/>
    <n v="39"/>
    <n v="294"/>
    <m/>
    <m/>
    <s v=""/>
    <n v="872"/>
    <n v="15"/>
    <n v="2"/>
    <n v="8.8757396449704144E-3"/>
  </r>
  <r>
    <x v="9"/>
    <x v="9"/>
    <n v="1875"/>
    <s v="Hábmer - Hamarøy"/>
    <n v="784.33"/>
    <n v="192"/>
    <n v="1838"/>
    <n v="2786"/>
    <n v="0.43"/>
    <n v="339"/>
    <n v="282"/>
    <n v="107"/>
    <m/>
    <m/>
    <s v=""/>
    <n v="1905"/>
    <n v="32"/>
    <n v="5"/>
    <n v="1.8934911242603551E-2"/>
  </r>
  <r>
    <x v="7"/>
    <x v="7"/>
    <n v="5538"/>
    <s v="Storfjord - Omasvuotna - Omasvuono"/>
    <n v="773.97"/>
    <n v="193"/>
    <n v="1477"/>
    <n v="1829"/>
    <n v="0.52"/>
    <n v="325"/>
    <n v="423"/>
    <n v="66"/>
    <m/>
    <m/>
    <s v=""/>
    <n v="1661"/>
    <n v="28"/>
    <n v="4"/>
    <n v="1.6568047337278107E-2"/>
  </r>
  <r>
    <x v="11"/>
    <x v="11"/>
    <n v="1101"/>
    <s v="Eigersund"/>
    <n v="748.33"/>
    <n v="194"/>
    <n v="387"/>
    <n v="15375"/>
    <n v="1.93"/>
    <n v="133"/>
    <n v="49"/>
    <n v="274"/>
    <m/>
    <m/>
    <s v=""/>
    <n v="928"/>
    <n v="16"/>
    <n v="3"/>
    <n v="9.4674556213017753E-3"/>
  </r>
  <r>
    <x v="9"/>
    <x v="9"/>
    <n v="1841"/>
    <s v="Fauske - Fuossko"/>
    <n v="745.84"/>
    <n v="195"/>
    <n v="1107"/>
    <n v="9805"/>
    <n v="0.67"/>
    <n v="303"/>
    <n v="76"/>
    <n v="242"/>
    <m/>
    <m/>
    <s v=""/>
    <n v="1395"/>
    <n v="24"/>
    <n v="4"/>
    <n v="1.4201183431952662E-2"/>
  </r>
  <r>
    <x v="7"/>
    <x v="7"/>
    <n v="5510"/>
    <s v="Kvæfjord"/>
    <n v="732.98"/>
    <n v="196"/>
    <n v="497"/>
    <n v="2852"/>
    <n v="1.47"/>
    <n v="177"/>
    <n v="257"/>
    <n v="116"/>
    <m/>
    <m/>
    <s v=""/>
    <n v="986"/>
    <n v="17"/>
    <n v="3"/>
    <n v="1.0059171597633136E-2"/>
  </r>
  <r>
    <x v="12"/>
    <x v="12"/>
    <n v="3234"/>
    <s v="Lunner"/>
    <n v="726.79"/>
    <n v="197"/>
    <n v="272"/>
    <n v="9420"/>
    <n v="2.67"/>
    <n v="65"/>
    <n v="77"/>
    <n v="238"/>
    <m/>
    <m/>
    <s v=""/>
    <n v="834"/>
    <n v="14"/>
    <n v="2"/>
    <n v="8.2840236686390536E-3"/>
  </r>
  <r>
    <x v="12"/>
    <x v="12"/>
    <n v="3238"/>
    <s v="Nannestad"/>
    <n v="722.65"/>
    <n v="198"/>
    <n v="324"/>
    <n v="16505"/>
    <n v="2.23"/>
    <n v="103"/>
    <n v="44"/>
    <n v="284"/>
    <m/>
    <m/>
    <s v=""/>
    <n v="864"/>
    <n v="15"/>
    <n v="2"/>
    <n v="8.8757396449704144E-3"/>
  </r>
  <r>
    <x v="7"/>
    <x v="7"/>
    <n v="5546"/>
    <s v="Kvænangen"/>
    <n v="719.15"/>
    <n v="199"/>
    <n v="2008"/>
    <n v="1131"/>
    <n v="0.36"/>
    <n v="344"/>
    <n v="636"/>
    <n v="29"/>
    <m/>
    <m/>
    <s v=""/>
    <n v="1957"/>
    <n v="33"/>
    <n v="5"/>
    <n v="1.952662721893491E-2"/>
  </r>
  <r>
    <x v="12"/>
    <x v="12"/>
    <n v="3201"/>
    <s v="Bærum"/>
    <n v="717.84"/>
    <n v="200"/>
    <n v="189"/>
    <n v="132358"/>
    <n v="3.8"/>
    <n v="10"/>
    <n v="5"/>
    <n v="354"/>
    <m/>
    <m/>
    <s v=""/>
    <n v="772"/>
    <n v="13"/>
    <n v="2"/>
    <n v="7.6923076923076927E-3"/>
  </r>
  <r>
    <x v="12"/>
    <x v="12"/>
    <n v="3242"/>
    <s v="Hurdal"/>
    <n v="715.03"/>
    <n v="201"/>
    <n v="261"/>
    <n v="3022"/>
    <n v="2.74"/>
    <n v="59"/>
    <n v="237"/>
    <n v="126"/>
    <m/>
    <m/>
    <s v=""/>
    <n v="816"/>
    <n v="14"/>
    <n v="2"/>
    <n v="8.2840236686390536E-3"/>
  </r>
  <r>
    <x v="6"/>
    <x v="6"/>
    <n v="4014"/>
    <s v="Kragerø"/>
    <n v="713.35"/>
    <n v="202"/>
    <n v="289"/>
    <n v="10446"/>
    <n v="2.4700000000000002"/>
    <n v="81"/>
    <n v="68"/>
    <n v="253"/>
    <m/>
    <m/>
    <s v=""/>
    <n v="833"/>
    <n v="14"/>
    <n v="2"/>
    <n v="8.2840236686390536E-3"/>
  </r>
  <r>
    <x v="6"/>
    <x v="6"/>
    <n v="4018"/>
    <s v="Nome"/>
    <n v="708.73"/>
    <n v="203"/>
    <n v="385"/>
    <n v="6558"/>
    <n v="1.84"/>
    <n v="140"/>
    <n v="108"/>
    <n v="207"/>
    <m/>
    <m/>
    <s v=""/>
    <n v="891"/>
    <n v="15"/>
    <n v="2"/>
    <n v="8.8757396449704144E-3"/>
  </r>
  <r>
    <x v="9"/>
    <x v="9"/>
    <n v="1866"/>
    <s v="Hadsel"/>
    <n v="694.67"/>
    <n v="204"/>
    <n v="551"/>
    <n v="8400"/>
    <n v="1.26"/>
    <n v="210"/>
    <n v="83"/>
    <n v="236"/>
    <m/>
    <m/>
    <s v=""/>
    <n v="986"/>
    <n v="17"/>
    <n v="3"/>
    <n v="1.0059171597633136E-2"/>
  </r>
  <r>
    <x v="11"/>
    <x v="11"/>
    <n v="1121"/>
    <s v="Time"/>
    <n v="692.5"/>
    <n v="205"/>
    <n v="171"/>
    <n v="20157"/>
    <n v="4.05"/>
    <n v="4"/>
    <n v="34"/>
    <n v="301"/>
    <m/>
    <m/>
    <s v=""/>
    <n v="737"/>
    <n v="13"/>
    <n v="2"/>
    <n v="7.6923076923076927E-3"/>
  </r>
  <r>
    <x v="4"/>
    <x v="4"/>
    <n v="4224"/>
    <s v="Åseral"/>
    <n v="691.46"/>
    <n v="206"/>
    <n v="797"/>
    <n v="915"/>
    <n v="0.87"/>
    <n v="271"/>
    <n v="756"/>
    <n v="20"/>
    <m/>
    <m/>
    <s v=""/>
    <n v="1144"/>
    <n v="20"/>
    <n v="3"/>
    <n v="1.1834319526627219E-2"/>
  </r>
  <r>
    <x v="5"/>
    <x v="5"/>
    <n v="4612"/>
    <s v="Sveio"/>
    <n v="690.69"/>
    <n v="207"/>
    <n v="224"/>
    <n v="5752"/>
    <n v="3.08"/>
    <n v="41"/>
    <n v="120"/>
    <n v="194"/>
    <m/>
    <m/>
    <s v=""/>
    <n v="770"/>
    <n v="13"/>
    <n v="2"/>
    <n v="7.6923076923076927E-3"/>
  </r>
  <r>
    <x v="14"/>
    <x v="14"/>
    <n v="1535"/>
    <s v="Vestnes"/>
    <n v="683.11"/>
    <n v="208"/>
    <n v="399"/>
    <n v="7242"/>
    <n v="1.71"/>
    <n v="150"/>
    <n v="94"/>
    <n v="221"/>
    <m/>
    <m/>
    <s v=""/>
    <n v="877"/>
    <n v="15"/>
    <n v="2"/>
    <n v="8.8757396449704144E-3"/>
  </r>
  <r>
    <x v="1"/>
    <x v="1"/>
    <n v="5061"/>
    <s v="Rindal"/>
    <n v="680.39"/>
    <n v="209"/>
    <n v="612"/>
    <n v="1937"/>
    <n v="1.1100000000000001"/>
    <n v="228"/>
    <n v="351"/>
    <n v="88"/>
    <m/>
    <m/>
    <s v=""/>
    <n v="1013"/>
    <n v="17"/>
    <n v="3"/>
    <n v="1.0059171597633136E-2"/>
  </r>
  <r>
    <x v="9"/>
    <x v="9"/>
    <n v="1813"/>
    <s v="Brønnøy"/>
    <n v="678.07"/>
    <n v="210"/>
    <n v="999"/>
    <n v="7838"/>
    <n v="0.68"/>
    <n v="300"/>
    <n v="87"/>
    <n v="232"/>
    <m/>
    <m/>
    <s v=""/>
    <n v="1263"/>
    <n v="22"/>
    <n v="3"/>
    <n v="1.301775147928994E-2"/>
  </r>
  <r>
    <x v="5"/>
    <x v="5"/>
    <n v="4648"/>
    <s v="Bremanger"/>
    <n v="675.68"/>
    <n v="211"/>
    <n v="786"/>
    <n v="3361"/>
    <n v="0.86"/>
    <n v="273"/>
    <n v="201"/>
    <n v="140"/>
    <m/>
    <m/>
    <s v=""/>
    <n v="1122"/>
    <n v="19"/>
    <n v="3"/>
    <n v="1.1242603550295858E-2"/>
  </r>
  <r>
    <x v="5"/>
    <x v="5"/>
    <n v="4642"/>
    <s v="Lærdal"/>
    <n v="672.49"/>
    <n v="212"/>
    <n v="1275"/>
    <n v="2188"/>
    <n v="0.53"/>
    <n v="323"/>
    <n v="307"/>
    <n v="100"/>
    <m/>
    <m/>
    <s v=""/>
    <n v="1438"/>
    <n v="24"/>
    <n v="4"/>
    <n v="1.4201183431952662E-2"/>
  </r>
  <r>
    <x v="4"/>
    <x v="4"/>
    <n v="4226"/>
    <s v="Hægebostad"/>
    <n v="671.59"/>
    <n v="213"/>
    <n v="424"/>
    <n v="1786"/>
    <n v="1.58"/>
    <n v="170"/>
    <n v="376"/>
    <n v="75"/>
    <m/>
    <m/>
    <s v=""/>
    <n v="883"/>
    <n v="15"/>
    <n v="2"/>
    <n v="8.8757396449704144E-3"/>
  </r>
  <r>
    <x v="9"/>
    <x v="9"/>
    <n v="1870"/>
    <s v="Sortland - Suortá"/>
    <n v="669.36"/>
    <n v="214"/>
    <n v="697"/>
    <n v="10781"/>
    <n v="0.96"/>
    <n v="257"/>
    <n v="62"/>
    <n v="263"/>
    <m/>
    <m/>
    <s v=""/>
    <n v="1059"/>
    <n v="18"/>
    <n v="3"/>
    <n v="1.0650887573964497E-2"/>
  </r>
  <r>
    <x v="14"/>
    <x v="14"/>
    <n v="1560"/>
    <s v="Tingvoll"/>
    <n v="668.07"/>
    <n v="215"/>
    <n v="322"/>
    <n v="3077"/>
    <n v="2.0699999999999998"/>
    <n v="117"/>
    <n v="217"/>
    <n v="135"/>
    <m/>
    <m/>
    <s v=""/>
    <n v="813"/>
    <n v="14"/>
    <n v="2"/>
    <n v="8.2840236686390536E-3"/>
  </r>
  <r>
    <x v="9"/>
    <x v="9"/>
    <n v="1825"/>
    <s v="Grane"/>
    <n v="666.52"/>
    <n v="216"/>
    <n v="1881"/>
    <n v="1430"/>
    <n v="0.35"/>
    <n v="345"/>
    <n v="466"/>
    <n v="57"/>
    <m/>
    <m/>
    <s v=""/>
    <n v="1827"/>
    <n v="31"/>
    <n v="5"/>
    <n v="1.8343195266272188E-2"/>
  </r>
  <r>
    <x v="12"/>
    <x v="12"/>
    <n v="3209"/>
    <s v="Ullensaker"/>
    <n v="666.12"/>
    <n v="217"/>
    <n v="250"/>
    <n v="45066"/>
    <n v="2.66"/>
    <n v="67"/>
    <n v="15"/>
    <n v="331"/>
    <m/>
    <m/>
    <s v=""/>
    <n v="765"/>
    <n v="13"/>
    <n v="2"/>
    <n v="7.6923076923076927E-3"/>
  </r>
  <r>
    <x v="11"/>
    <x v="11"/>
    <n v="1130"/>
    <s v="Strand"/>
    <n v="658.74"/>
    <n v="218"/>
    <n v="235"/>
    <n v="13813"/>
    <n v="2.8"/>
    <n v="54"/>
    <n v="48"/>
    <n v="276"/>
    <m/>
    <m/>
    <s v=""/>
    <n v="748"/>
    <n v="13"/>
    <n v="2"/>
    <n v="7.6923076923076927E-3"/>
  </r>
  <r>
    <x v="4"/>
    <x v="4"/>
    <n v="4206"/>
    <s v="Farsund"/>
    <n v="654.72"/>
    <n v="219"/>
    <n v="252"/>
    <n v="9880"/>
    <n v="2.6"/>
    <n v="73"/>
    <n v="66"/>
    <n v="255"/>
    <m/>
    <m/>
    <s v=""/>
    <n v="756"/>
    <n v="13"/>
    <n v="2"/>
    <n v="7.6923076923076927E-3"/>
  </r>
  <r>
    <x v="6"/>
    <x v="6"/>
    <n v="4001"/>
    <s v="Porsgrunn"/>
    <n v="652.21"/>
    <n v="220"/>
    <n v="161"/>
    <n v="37289"/>
    <n v="4.05"/>
    <n v="4"/>
    <n v="17"/>
    <n v="326"/>
    <m/>
    <m/>
    <s v=""/>
    <n v="694"/>
    <n v="12"/>
    <n v="2"/>
    <n v="7.100591715976331E-3"/>
  </r>
  <r>
    <x v="9"/>
    <x v="9"/>
    <n v="1848"/>
    <s v="Steigen"/>
    <n v="651.73"/>
    <n v="221"/>
    <n v="964"/>
    <n v="2662"/>
    <n v="0.68"/>
    <n v="300"/>
    <n v="245"/>
    <n v="120"/>
    <m/>
    <m/>
    <s v=""/>
    <n v="1216"/>
    <n v="21"/>
    <n v="3"/>
    <n v="1.242603550295858E-2"/>
  </r>
  <r>
    <x v="14"/>
    <x v="14"/>
    <n v="1576"/>
    <s v="Aure"/>
    <n v="647.42999999999995"/>
    <n v="222"/>
    <n v="622"/>
    <n v="3394"/>
    <n v="1.04"/>
    <n v="240"/>
    <n v="191"/>
    <n v="145"/>
    <m/>
    <m/>
    <s v=""/>
    <n v="990"/>
    <n v="17"/>
    <n v="3"/>
    <n v="1.0059171597633136E-2"/>
  </r>
  <r>
    <x v="9"/>
    <x v="9"/>
    <n v="1860"/>
    <s v="Vestvågøy"/>
    <n v="646.46"/>
    <n v="223"/>
    <n v="407"/>
    <n v="11582"/>
    <n v="1.59"/>
    <n v="166"/>
    <n v="56"/>
    <n v="267"/>
    <m/>
    <m/>
    <s v=""/>
    <n v="849"/>
    <n v="15"/>
    <n v="2"/>
    <n v="8.8757396449704144E-3"/>
  </r>
  <r>
    <x v="4"/>
    <x v="4"/>
    <n v="4201"/>
    <s v="Risør"/>
    <n v="644.33000000000004"/>
    <n v="224"/>
    <n v="171"/>
    <n v="6687"/>
    <n v="3.77"/>
    <n v="11"/>
    <n v="96"/>
    <n v="218"/>
    <m/>
    <m/>
    <s v=""/>
    <n v="693"/>
    <n v="12"/>
    <n v="2"/>
    <n v="7.100591715976331E-3"/>
  </r>
  <r>
    <x v="5"/>
    <x v="5"/>
    <n v="4616"/>
    <s v="Tysnes"/>
    <n v="640.20000000000005"/>
    <n v="225"/>
    <n v="245"/>
    <n v="2986"/>
    <n v="2.61"/>
    <n v="71"/>
    <n v="214"/>
    <n v="136"/>
    <m/>
    <m/>
    <s v=""/>
    <n v="738"/>
    <n v="13"/>
    <n v="2"/>
    <n v="7.6923076923076927E-3"/>
  </r>
  <r>
    <x v="3"/>
    <x v="3"/>
    <n v="3414"/>
    <s v="Nord-Odal"/>
    <n v="636.82000000000005"/>
    <n v="226"/>
    <n v="475"/>
    <n v="5006"/>
    <n v="1.34"/>
    <n v="198"/>
    <n v="127"/>
    <n v="186"/>
    <m/>
    <m/>
    <s v=""/>
    <n v="885"/>
    <n v="15"/>
    <n v="2"/>
    <n v="8.8757396449704144E-3"/>
  </r>
  <r>
    <x v="11"/>
    <x v="11"/>
    <n v="1149"/>
    <s v="Karmøy"/>
    <n v="636.48"/>
    <n v="227"/>
    <n v="219"/>
    <n v="43723"/>
    <n v="2.91"/>
    <n v="48"/>
    <n v="15"/>
    <n v="331"/>
    <m/>
    <m/>
    <s v=""/>
    <n v="718"/>
    <n v="12"/>
    <n v="2"/>
    <n v="7.100591715976331E-3"/>
  </r>
  <r>
    <x v="4"/>
    <x v="4"/>
    <n v="4222"/>
    <s v="Bykle"/>
    <n v="633.15"/>
    <n v="228"/>
    <n v="1254"/>
    <n v="1039"/>
    <n v="0.5"/>
    <n v="329"/>
    <n v="609"/>
    <n v="33"/>
    <m/>
    <m/>
    <s v=""/>
    <n v="1388"/>
    <n v="24"/>
    <n v="4"/>
    <n v="1.4201183431952662E-2"/>
  </r>
  <r>
    <x v="7"/>
    <x v="7"/>
    <n v="5536"/>
    <s v="Lyngen"/>
    <n v="631.47"/>
    <n v="229"/>
    <n v="795"/>
    <n v="2734"/>
    <n v="0.79"/>
    <n v="288"/>
    <n v="231"/>
    <n v="129"/>
    <m/>
    <m/>
    <s v=""/>
    <n v="1088"/>
    <n v="19"/>
    <n v="3"/>
    <n v="1.1242603550295858E-2"/>
  </r>
  <r>
    <x v="0"/>
    <x v="0"/>
    <n v="5624"/>
    <s v="Lebesby"/>
    <n v="629.41999999999996"/>
    <n v="230"/>
    <n v="3231"/>
    <n v="1238"/>
    <n v="0.19"/>
    <n v="354"/>
    <n v="508"/>
    <n v="48"/>
    <m/>
    <m/>
    <s v=""/>
    <n v="2672"/>
    <n v="45"/>
    <n v="6"/>
    <n v="2.6627218934911243E-2"/>
  </r>
  <r>
    <x v="1"/>
    <x v="1"/>
    <n v="5047"/>
    <s v="Overhalla"/>
    <n v="625.24"/>
    <n v="231"/>
    <n v="689"/>
    <n v="3946"/>
    <n v="0.91"/>
    <n v="261"/>
    <n v="158"/>
    <n v="162"/>
    <m/>
    <m/>
    <s v=""/>
    <n v="1013"/>
    <n v="17"/>
    <n v="3"/>
    <n v="1.0059171597633136E-2"/>
  </r>
  <r>
    <x v="12"/>
    <x v="12"/>
    <n v="3232"/>
    <s v="Nittedal"/>
    <n v="623.5"/>
    <n v="232"/>
    <n v="179"/>
    <n v="26023"/>
    <n v="3.48"/>
    <n v="22"/>
    <n v="24"/>
    <n v="316"/>
    <m/>
    <m/>
    <s v=""/>
    <n v="680"/>
    <n v="12"/>
    <n v="2"/>
    <n v="7.100591715976331E-3"/>
  </r>
  <r>
    <x v="13"/>
    <x v="13"/>
    <n v="3114"/>
    <s v="Våler"/>
    <n v="614.35"/>
    <n v="233"/>
    <n v="239"/>
    <n v="6162"/>
    <n v="2.57"/>
    <n v="74"/>
    <n v="100"/>
    <n v="215"/>
    <m/>
    <m/>
    <s v=""/>
    <n v="711"/>
    <n v="12"/>
    <n v="2"/>
    <n v="7.100591715976331E-3"/>
  </r>
  <r>
    <x v="13"/>
    <x v="13"/>
    <n v="3120"/>
    <s v="Rakkestad"/>
    <n v="608.66999999999996"/>
    <n v="234"/>
    <n v="421"/>
    <n v="8527"/>
    <n v="1.45"/>
    <n v="182"/>
    <n v="71"/>
    <n v="247"/>
    <m/>
    <m/>
    <s v=""/>
    <n v="824"/>
    <n v="14"/>
    <n v="2"/>
    <n v="8.2840236686390536E-3"/>
  </r>
  <r>
    <x v="9"/>
    <x v="9"/>
    <n v="1839"/>
    <s v="Beiarn"/>
    <n v="590.5"/>
    <n v="235"/>
    <n v="1178"/>
    <n v="1059"/>
    <n v="0.5"/>
    <n v="329"/>
    <n v="558"/>
    <n v="38"/>
    <m/>
    <m/>
    <s v=""/>
    <n v="1300"/>
    <n v="22"/>
    <n v="3"/>
    <n v="1.301775147928994E-2"/>
  </r>
  <r>
    <x v="4"/>
    <x v="4"/>
    <n v="4202"/>
    <s v="Grimstad"/>
    <n v="590.11"/>
    <n v="236"/>
    <n v="272"/>
    <n v="25419"/>
    <n v="2.17"/>
    <n v="108"/>
    <n v="23"/>
    <n v="320"/>
    <m/>
    <m/>
    <s v=""/>
    <n v="710"/>
    <n v="12"/>
    <n v="2"/>
    <n v="7.100591715976331E-3"/>
  </r>
  <r>
    <x v="9"/>
    <x v="9"/>
    <n v="1837"/>
    <s v="Meløy"/>
    <n v="584.95000000000005"/>
    <n v="237"/>
    <n v="798"/>
    <n v="6104"/>
    <n v="0.73"/>
    <n v="295"/>
    <n v="96"/>
    <n v="218"/>
    <m/>
    <m/>
    <s v=""/>
    <n v="1048"/>
    <n v="18"/>
    <n v="3"/>
    <n v="1.0650887573964497E-2"/>
  </r>
  <r>
    <x v="12"/>
    <x v="12"/>
    <n v="3207"/>
    <s v="Nordre Follo"/>
    <n v="574.38"/>
    <n v="238"/>
    <n v="196"/>
    <n v="64668"/>
    <n v="2.93"/>
    <n v="45"/>
    <n v="9"/>
    <n v="345"/>
    <m/>
    <m/>
    <s v=""/>
    <n v="647"/>
    <n v="11"/>
    <n v="2"/>
    <n v="6.5088757396449702E-3"/>
  </r>
  <r>
    <x v="5"/>
    <x v="5"/>
    <n v="4638"/>
    <s v="Høyanger"/>
    <n v="571.41999999999996"/>
    <n v="239"/>
    <n v="928"/>
    <n v="3894"/>
    <n v="0.62"/>
    <n v="310"/>
    <n v="147"/>
    <n v="168"/>
    <m/>
    <m/>
    <s v=""/>
    <n v="1120"/>
    <n v="19"/>
    <n v="3"/>
    <n v="1.1242603550295858E-2"/>
  </r>
  <r>
    <x v="5"/>
    <x v="5"/>
    <n v="4613"/>
    <s v="Bømlo"/>
    <n v="567.12"/>
    <n v="240"/>
    <n v="236"/>
    <n v="12365"/>
    <n v="2.4"/>
    <n v="87"/>
    <n v="46"/>
    <n v="281"/>
    <m/>
    <m/>
    <s v=""/>
    <n v="666"/>
    <n v="12"/>
    <n v="2"/>
    <n v="7.100591715976331E-3"/>
  </r>
  <r>
    <x v="5"/>
    <x v="5"/>
    <n v="4628"/>
    <s v="Vaksdal"/>
    <n v="564.91999999999996"/>
    <n v="241"/>
    <n v="682"/>
    <n v="3875"/>
    <n v="0.83"/>
    <n v="280"/>
    <n v="146"/>
    <n v="171"/>
    <m/>
    <m/>
    <s v=""/>
    <n v="954"/>
    <n v="16"/>
    <n v="3"/>
    <n v="9.4674556213017753E-3"/>
  </r>
  <r>
    <x v="5"/>
    <x v="5"/>
    <n v="4643"/>
    <s v="Årdal"/>
    <n v="562.88"/>
    <n v="242"/>
    <n v="930"/>
    <n v="5213"/>
    <n v="0.61"/>
    <n v="313"/>
    <n v="108"/>
    <n v="207"/>
    <m/>
    <m/>
    <s v=""/>
    <n v="1114"/>
    <n v="19"/>
    <n v="3"/>
    <n v="1.1242603550295858E-2"/>
  </r>
  <r>
    <x v="1"/>
    <x v="1"/>
    <n v="5029"/>
    <s v="Skaun"/>
    <n v="537.69000000000005"/>
    <n v="243"/>
    <n v="213"/>
    <n v="8521"/>
    <n v="2.52"/>
    <n v="78"/>
    <n v="63"/>
    <n v="261"/>
    <m/>
    <m/>
    <s v=""/>
    <n v="624"/>
    <n v="11"/>
    <n v="2"/>
    <n v="6.5088757396449702E-3"/>
  </r>
  <r>
    <x v="14"/>
    <x v="14"/>
    <n v="1557"/>
    <s v="Gjemnes"/>
    <n v="534.79999999999995"/>
    <n v="244"/>
    <n v="371"/>
    <n v="2708"/>
    <n v="1.44"/>
    <n v="184"/>
    <n v="197"/>
    <n v="142"/>
    <m/>
    <m/>
    <s v=""/>
    <n v="725"/>
    <n v="13"/>
    <n v="2"/>
    <n v="7.6923076923076927E-3"/>
  </r>
  <r>
    <x v="5"/>
    <x v="5"/>
    <n v="4645"/>
    <s v="Askvoll"/>
    <n v="533.13"/>
    <n v="245"/>
    <n v="313"/>
    <n v="2930"/>
    <n v="1.7"/>
    <n v="153"/>
    <n v="182"/>
    <n v="150"/>
    <m/>
    <m/>
    <s v=""/>
    <n v="685"/>
    <n v="12"/>
    <n v="2"/>
    <n v="7.100591715976331E-3"/>
  </r>
  <r>
    <x v="1"/>
    <x v="1"/>
    <n v="5057"/>
    <s v="Ørland"/>
    <n v="526.37"/>
    <n v="246"/>
    <n v="429"/>
    <n v="10627"/>
    <n v="1.23"/>
    <n v="215"/>
    <n v="50"/>
    <n v="271"/>
    <m/>
    <m/>
    <s v=""/>
    <n v="755"/>
    <n v="13"/>
    <n v="2"/>
    <n v="7.6923076923076927E-3"/>
  </r>
  <r>
    <x v="14"/>
    <x v="14"/>
    <n v="1525"/>
    <s v="Stranda"/>
    <n v="523.16"/>
    <n v="247"/>
    <n v="844"/>
    <n v="4380"/>
    <n v="0.62"/>
    <n v="310"/>
    <n v="119"/>
    <n v="195"/>
    <m/>
    <m/>
    <s v=""/>
    <n v="1022"/>
    <n v="18"/>
    <n v="3"/>
    <n v="1.0650887573964497E-2"/>
  </r>
  <r>
    <x v="6"/>
    <x v="6"/>
    <n v="4012"/>
    <s v="Bamble"/>
    <n v="516.47"/>
    <n v="248"/>
    <n v="282"/>
    <n v="14310"/>
    <n v="1.83"/>
    <n v="142"/>
    <n v="36"/>
    <n v="300"/>
    <m/>
    <m/>
    <s v=""/>
    <n v="650"/>
    <n v="11"/>
    <n v="2"/>
    <n v="6.5088757396449702E-3"/>
  </r>
  <r>
    <x v="9"/>
    <x v="9"/>
    <n v="1845"/>
    <s v="Sørfold"/>
    <n v="510.73"/>
    <n v="249"/>
    <n v="1471"/>
    <n v="1851"/>
    <n v="0.35"/>
    <n v="345"/>
    <n v="276"/>
    <n v="111"/>
    <m/>
    <m/>
    <s v=""/>
    <n v="1419"/>
    <n v="24"/>
    <n v="4"/>
    <n v="1.4201183431952662E-2"/>
  </r>
  <r>
    <x v="5"/>
    <x v="5"/>
    <n v="4634"/>
    <s v="Masfjorden"/>
    <n v="503.95"/>
    <n v="250"/>
    <n v="509"/>
    <n v="1687"/>
    <n v="0.99"/>
    <n v="249"/>
    <n v="299"/>
    <n v="102"/>
    <m/>
    <m/>
    <s v=""/>
    <n v="787"/>
    <n v="14"/>
    <n v="2"/>
    <n v="8.2840236686390536E-3"/>
  </r>
  <r>
    <x v="5"/>
    <x v="5"/>
    <n v="4646"/>
    <s v="Fjaler"/>
    <n v="502.55"/>
    <n v="251"/>
    <n v="390"/>
    <n v="2924"/>
    <n v="1.29"/>
    <n v="205"/>
    <n v="172"/>
    <n v="156"/>
    <m/>
    <m/>
    <s v=""/>
    <n v="708"/>
    <n v="12"/>
    <n v="2"/>
    <n v="7.100591715976331E-3"/>
  </r>
  <r>
    <x v="3"/>
    <x v="3"/>
    <n v="3443"/>
    <s v="Vestre Toten"/>
    <n v="500.43"/>
    <n v="252"/>
    <n v="233"/>
    <n v="13649"/>
    <n v="2.15"/>
    <n v="111"/>
    <n v="37"/>
    <n v="298"/>
    <m/>
    <m/>
    <s v=""/>
    <n v="604"/>
    <n v="11"/>
    <n v="2"/>
    <n v="6.5088757396449702E-3"/>
  </r>
  <r>
    <x v="14"/>
    <x v="14"/>
    <n v="1511"/>
    <s v="Vanylven"/>
    <n v="497.82"/>
    <n v="253"/>
    <n v="365"/>
    <n v="3048"/>
    <n v="1.36"/>
    <n v="196"/>
    <n v="163"/>
    <n v="158"/>
    <m/>
    <m/>
    <s v=""/>
    <n v="687"/>
    <n v="12"/>
    <n v="2"/>
    <n v="7.100591715976331E-3"/>
  </r>
  <r>
    <x v="4"/>
    <x v="4"/>
    <n v="4215"/>
    <s v="Lillesand"/>
    <n v="496.92"/>
    <n v="254"/>
    <n v="180"/>
    <n v="11734"/>
    <n v="2.76"/>
    <n v="57"/>
    <n v="42"/>
    <n v="289"/>
    <m/>
    <m/>
    <s v=""/>
    <n v="566"/>
    <n v="10"/>
    <n v="2"/>
    <n v="5.9171597633136093E-3"/>
  </r>
  <r>
    <x v="7"/>
    <x v="7"/>
    <n v="5540"/>
    <s v="Gáivuotna - Kåfjord - Kaivuono"/>
    <n v="495.91"/>
    <n v="255"/>
    <n v="950"/>
    <n v="1955"/>
    <n v="0.52"/>
    <n v="325"/>
    <n v="254"/>
    <n v="117"/>
    <m/>
    <m/>
    <s v=""/>
    <n v="1067"/>
    <n v="18"/>
    <n v="3"/>
    <n v="1.0650887573964497E-2"/>
  </r>
  <r>
    <x v="5"/>
    <x v="5"/>
    <n v="4620"/>
    <s v="Ulvik"/>
    <n v="493.29"/>
    <n v="256"/>
    <n v="663"/>
    <n v="1100"/>
    <n v="0.74"/>
    <n v="293"/>
    <n v="448"/>
    <n v="60"/>
    <m/>
    <m/>
    <s v=""/>
    <n v="877"/>
    <n v="15"/>
    <n v="2"/>
    <n v="8.8757396449704144E-3"/>
  </r>
  <r>
    <x v="12"/>
    <x v="12"/>
    <n v="3220"/>
    <s v="Enebakk"/>
    <n v="490.83"/>
    <n v="257"/>
    <n v="195"/>
    <n v="11549"/>
    <n v="2.52"/>
    <n v="78"/>
    <n v="42"/>
    <n v="289"/>
    <m/>
    <m/>
    <s v=""/>
    <n v="570"/>
    <n v="10"/>
    <n v="2"/>
    <n v="5.9171597633136093E-3"/>
  </r>
  <r>
    <x v="3"/>
    <x v="3"/>
    <n v="3403"/>
    <s v="Hamar"/>
    <n v="490.53"/>
    <n v="258"/>
    <n v="338"/>
    <n v="33441"/>
    <n v="1.45"/>
    <n v="182"/>
    <n v="15"/>
    <n v="331"/>
    <m/>
    <m/>
    <s v=""/>
    <n v="663"/>
    <n v="12"/>
    <n v="2"/>
    <n v="7.100591715976331E-3"/>
  </r>
  <r>
    <x v="1"/>
    <x v="1"/>
    <n v="5014"/>
    <s v="Frøya"/>
    <n v="489.91"/>
    <n v="259"/>
    <n v="230"/>
    <n v="5655"/>
    <n v="2.13"/>
    <n v="114"/>
    <n v="87"/>
    <n v="232"/>
    <m/>
    <m/>
    <s v=""/>
    <n v="592"/>
    <n v="10"/>
    <n v="2"/>
    <n v="5.9171597633136093E-3"/>
  </r>
  <r>
    <x v="4"/>
    <x v="4"/>
    <n v="4218"/>
    <s v="Iveland"/>
    <n v="488.62"/>
    <n v="260"/>
    <n v="246"/>
    <n v="1399"/>
    <n v="1.99"/>
    <n v="128"/>
    <n v="349"/>
    <n v="90"/>
    <m/>
    <m/>
    <s v=""/>
    <n v="602"/>
    <n v="11"/>
    <n v="2"/>
    <n v="6.5088757396449702E-3"/>
  </r>
  <r>
    <x v="7"/>
    <x v="7"/>
    <n v="5522"/>
    <s v="Salangen"/>
    <n v="477.39"/>
    <n v="261"/>
    <n v="438"/>
    <n v="2116"/>
    <n v="1.0900000000000001"/>
    <n v="232"/>
    <n v="226"/>
    <n v="132"/>
    <m/>
    <m/>
    <s v=""/>
    <n v="716"/>
    <n v="12"/>
    <n v="2"/>
    <n v="7.100591715976331E-3"/>
  </r>
  <r>
    <x v="9"/>
    <x v="9"/>
    <n v="1865"/>
    <s v="Vågan"/>
    <n v="477.14"/>
    <n v="262"/>
    <n v="460"/>
    <n v="9871"/>
    <n v="1.04"/>
    <n v="240"/>
    <n v="48"/>
    <n v="276"/>
    <m/>
    <m/>
    <s v=""/>
    <n v="731"/>
    <n v="13"/>
    <n v="2"/>
    <n v="7.6923076923076927E-3"/>
  </r>
  <r>
    <x v="5"/>
    <x v="5"/>
    <n v="4614"/>
    <s v="Stord"/>
    <n v="470.6"/>
    <n v="263"/>
    <n v="137"/>
    <n v="19350"/>
    <n v="3.44"/>
    <n v="25"/>
    <n v="24"/>
    <n v="316"/>
    <m/>
    <m/>
    <s v=""/>
    <n v="514"/>
    <n v="9"/>
    <n v="2"/>
    <n v="5.3254437869822485E-3"/>
  </r>
  <r>
    <x v="0"/>
    <x v="0"/>
    <n v="5618"/>
    <s v="Måsøy"/>
    <n v="466.75"/>
    <n v="264"/>
    <n v="1068"/>
    <n v="1098"/>
    <n v="0.44"/>
    <n v="335"/>
    <n v="425"/>
    <n v="64"/>
    <m/>
    <m/>
    <s v=""/>
    <n v="1117"/>
    <n v="19"/>
    <n v="3"/>
    <n v="1.1242603550295858E-2"/>
  </r>
  <r>
    <x v="12"/>
    <x v="12"/>
    <n v="3236"/>
    <s v="Jevnaker"/>
    <n v="463.54"/>
    <n v="265"/>
    <n v="194"/>
    <n v="7043"/>
    <n v="2.39"/>
    <n v="88"/>
    <n v="66"/>
    <n v="255"/>
    <m/>
    <m/>
    <s v=""/>
    <n v="545"/>
    <n v="10"/>
    <n v="2"/>
    <n v="5.9171597633136093E-3"/>
  </r>
  <r>
    <x v="3"/>
    <x v="3"/>
    <n v="3412"/>
    <s v="Løten"/>
    <n v="463.16"/>
    <n v="266"/>
    <n v="362"/>
    <n v="7931"/>
    <n v="1.28"/>
    <n v="207"/>
    <n v="58"/>
    <n v="266"/>
    <m/>
    <m/>
    <s v=""/>
    <n v="654"/>
    <n v="11"/>
    <n v="2"/>
    <n v="6.5088757396449702E-3"/>
  </r>
  <r>
    <x v="13"/>
    <x v="13"/>
    <n v="3103"/>
    <s v="Moss"/>
    <n v="462.05"/>
    <n v="267"/>
    <n v="128"/>
    <n v="52646"/>
    <n v="3.61"/>
    <n v="18"/>
    <n v="9"/>
    <n v="345"/>
    <m/>
    <m/>
    <s v=""/>
    <n v="501"/>
    <n v="9"/>
    <n v="2"/>
    <n v="5.3254437869822485E-3"/>
  </r>
  <r>
    <x v="14"/>
    <x v="14"/>
    <n v="1580"/>
    <s v="Haram"/>
    <n v="461.3"/>
    <n v="268"/>
    <n v="254"/>
    <n v="9409"/>
    <n v="1.82"/>
    <n v="143"/>
    <n v="49"/>
    <n v="274"/>
    <m/>
    <m/>
    <s v=""/>
    <n v="582"/>
    <n v="10"/>
    <n v="2"/>
    <n v="5.9171597633136093E-3"/>
  </r>
  <r>
    <x v="7"/>
    <x v="7"/>
    <n v="5526"/>
    <s v="Sørreisa"/>
    <n v="449.73"/>
    <n v="269"/>
    <n v="347"/>
    <n v="3533"/>
    <n v="1.3"/>
    <n v="204"/>
    <n v="127"/>
    <n v="186"/>
    <m/>
    <m/>
    <s v=""/>
    <n v="632"/>
    <n v="11"/>
    <n v="2"/>
    <n v="6.5088757396449702E-3"/>
  </r>
  <r>
    <x v="0"/>
    <x v="0"/>
    <n v="5620"/>
    <s v="Nordkapp"/>
    <n v="442.81"/>
    <n v="270"/>
    <n v="892"/>
    <n v="2956"/>
    <n v="0.5"/>
    <n v="329"/>
    <n v="150"/>
    <n v="166"/>
    <m/>
    <m/>
    <s v=""/>
    <n v="981"/>
    <n v="17"/>
    <n v="3"/>
    <n v="1.0059171597633136E-2"/>
  </r>
  <r>
    <x v="11"/>
    <x v="11"/>
    <n v="1135"/>
    <s v="Sauda"/>
    <n v="439.95"/>
    <n v="271"/>
    <n v="508"/>
    <n v="4600"/>
    <n v="0.87"/>
    <n v="271"/>
    <n v="96"/>
    <n v="218"/>
    <m/>
    <m/>
    <s v=""/>
    <n v="728"/>
    <n v="13"/>
    <n v="2"/>
    <n v="7.6923076923076927E-3"/>
  </r>
  <r>
    <x v="5"/>
    <x v="5"/>
    <n v="4615"/>
    <s v="Fitjar"/>
    <n v="439.6"/>
    <n v="272"/>
    <n v="135"/>
    <n v="3208"/>
    <n v="3.26"/>
    <n v="32"/>
    <n v="137"/>
    <n v="175"/>
    <m/>
    <m/>
    <s v=""/>
    <n v="485"/>
    <n v="9"/>
    <n v="2"/>
    <n v="5.3254437869822485E-3"/>
  </r>
  <r>
    <x v="6"/>
    <x v="6"/>
    <n v="4010"/>
    <s v="Siljan"/>
    <n v="437.25"/>
    <n v="273"/>
    <n v="202"/>
    <n v="2389"/>
    <n v="2.16"/>
    <n v="109"/>
    <n v="183"/>
    <n v="148"/>
    <m/>
    <m/>
    <s v=""/>
    <n v="527"/>
    <n v="9"/>
    <n v="2"/>
    <n v="5.3254437869822485E-3"/>
  </r>
  <r>
    <x v="13"/>
    <x v="13"/>
    <n v="3122"/>
    <s v="Marker"/>
    <n v="436.44"/>
    <n v="274"/>
    <n v="368"/>
    <n v="3655"/>
    <n v="1.19"/>
    <n v="221"/>
    <n v="119"/>
    <n v="195"/>
    <m/>
    <m/>
    <s v=""/>
    <n v="634"/>
    <n v="11"/>
    <n v="2"/>
    <n v="6.5088757396449702E-3"/>
  </r>
  <r>
    <x v="11"/>
    <x v="11"/>
    <n v="1112"/>
    <s v="Lund"/>
    <n v="429.15"/>
    <n v="275"/>
    <n v="354"/>
    <n v="3259"/>
    <n v="1.21"/>
    <n v="219"/>
    <n v="132"/>
    <n v="180"/>
    <m/>
    <m/>
    <s v=""/>
    <n v="618"/>
    <n v="11"/>
    <n v="2"/>
    <n v="6.5088757396449702E-3"/>
  </r>
  <r>
    <x v="2"/>
    <x v="2"/>
    <n v="3310"/>
    <s v="Hole"/>
    <n v="419.26"/>
    <n v="276"/>
    <n v="135"/>
    <n v="7065"/>
    <n v="3.11"/>
    <n v="40"/>
    <n v="59"/>
    <n v="265"/>
    <m/>
    <m/>
    <s v=""/>
    <n v="467"/>
    <n v="8"/>
    <n v="2"/>
    <n v="4.7337278106508876E-3"/>
  </r>
  <r>
    <x v="12"/>
    <x v="12"/>
    <n v="3216"/>
    <s v="Vestby"/>
    <n v="418.93"/>
    <n v="277"/>
    <n v="134"/>
    <n v="19855"/>
    <n v="3.13"/>
    <n v="38"/>
    <n v="21"/>
    <n v="321"/>
    <m/>
    <m/>
    <s v=""/>
    <n v="466"/>
    <n v="8"/>
    <n v="2"/>
    <n v="4.7337278106508876E-3"/>
  </r>
  <r>
    <x v="5"/>
    <x v="5"/>
    <n v="4637"/>
    <s v="Hyllestad"/>
    <n v="417.78"/>
    <n v="278"/>
    <n v="248"/>
    <n v="1281"/>
    <n v="1.68"/>
    <n v="158"/>
    <n v="326"/>
    <n v="96"/>
    <m/>
    <m/>
    <s v=""/>
    <n v="539"/>
    <n v="9"/>
    <n v="2"/>
    <n v="5.3254437869822485E-3"/>
  </r>
  <r>
    <x v="5"/>
    <x v="5"/>
    <n v="4627"/>
    <s v="Askøy"/>
    <n v="416.14"/>
    <n v="279"/>
    <n v="94"/>
    <n v="30377"/>
    <n v="4.43"/>
    <n v="3"/>
    <n v="14"/>
    <n v="334"/>
    <m/>
    <m/>
    <s v=""/>
    <n v="437"/>
    <n v="8"/>
    <n v="2"/>
    <n v="4.7337278106508876E-3"/>
  </r>
  <r>
    <x v="7"/>
    <x v="7"/>
    <n v="5514"/>
    <s v="Ibestad"/>
    <n v="408.08"/>
    <n v="280"/>
    <n v="234"/>
    <n v="1301"/>
    <n v="1.74"/>
    <n v="148"/>
    <n v="314"/>
    <n v="99"/>
    <m/>
    <m/>
    <s v=""/>
    <n v="521"/>
    <n v="9"/>
    <n v="2"/>
    <n v="5.3254437869822485E-3"/>
  </r>
  <r>
    <x v="1"/>
    <x v="1"/>
    <n v="5044"/>
    <s v="Namsskogan"/>
    <n v="407.16"/>
    <n v="281"/>
    <n v="1353"/>
    <n v="811"/>
    <n v="0.3"/>
    <n v="352"/>
    <n v="502"/>
    <n v="50"/>
    <m/>
    <m/>
    <s v=""/>
    <n v="1249"/>
    <n v="21"/>
    <n v="3"/>
    <n v="1.242603550295858E-2"/>
  </r>
  <r>
    <x v="1"/>
    <x v="1"/>
    <n v="5031"/>
    <s v="Malvik"/>
    <n v="405.44"/>
    <n v="282"/>
    <n v="162"/>
    <n v="15023"/>
    <n v="2.5"/>
    <n v="80"/>
    <n v="27"/>
    <n v="311"/>
    <m/>
    <m/>
    <s v=""/>
    <n v="472"/>
    <n v="8"/>
    <n v="2"/>
    <n v="4.7337278106508876E-3"/>
  </r>
  <r>
    <x v="14"/>
    <x v="14"/>
    <n v="1554"/>
    <s v="Averøy"/>
    <n v="397.05"/>
    <n v="283"/>
    <n v="173"/>
    <n v="5992"/>
    <n v="2.2999999999999998"/>
    <n v="95"/>
    <n v="66"/>
    <n v="255"/>
    <m/>
    <m/>
    <s v=""/>
    <n v="471"/>
    <n v="8"/>
    <n v="2"/>
    <n v="4.7337278106508876E-3"/>
  </r>
  <r>
    <x v="7"/>
    <x v="7"/>
    <n v="5542"/>
    <s v="Skjervøy"/>
    <n v="393.16"/>
    <n v="284"/>
    <n v="465"/>
    <n v="2784"/>
    <n v="0.85"/>
    <n v="277"/>
    <n v="141"/>
    <n v="174"/>
    <m/>
    <m/>
    <s v=""/>
    <n v="658"/>
    <n v="11"/>
    <n v="2"/>
    <n v="6.5088757396449702E-3"/>
  </r>
  <r>
    <x v="9"/>
    <x v="9"/>
    <n v="1811"/>
    <s v="Bindal"/>
    <n v="391.82"/>
    <n v="285"/>
    <n v="1192"/>
    <n v="1374"/>
    <n v="0.33"/>
    <n v="350"/>
    <n v="285"/>
    <n v="105"/>
    <m/>
    <m/>
    <s v=""/>
    <n v="1130"/>
    <n v="19"/>
    <n v="3"/>
    <n v="1.1242603550295858E-2"/>
  </r>
  <r>
    <x v="5"/>
    <x v="5"/>
    <n v="4635"/>
    <s v="Gulen"/>
    <n v="391.6"/>
    <n v="286"/>
    <n v="577"/>
    <n v="2260"/>
    <n v="0.68"/>
    <n v="300"/>
    <n v="173"/>
    <n v="154"/>
    <m/>
    <m/>
    <s v=""/>
    <n v="729"/>
    <n v="13"/>
    <n v="2"/>
    <n v="7.6923076923076927E-3"/>
  </r>
  <r>
    <x v="9"/>
    <x v="9"/>
    <n v="1853"/>
    <s v="Evenes - Evenášši"/>
    <n v="377.36"/>
    <n v="287"/>
    <n v="241"/>
    <n v="1362"/>
    <n v="1.57"/>
    <n v="171"/>
    <n v="277"/>
    <n v="110"/>
    <m/>
    <m/>
    <s v=""/>
    <n v="498"/>
    <n v="9"/>
    <n v="2"/>
    <n v="5.3254437869822485E-3"/>
  </r>
  <r>
    <x v="9"/>
    <x v="9"/>
    <n v="1838"/>
    <s v="Gildeskål"/>
    <n v="363.8"/>
    <n v="288"/>
    <n v="622"/>
    <n v="2003"/>
    <n v="0.57999999999999996"/>
    <n v="316"/>
    <n v="182"/>
    <n v="150"/>
    <m/>
    <m/>
    <s v=""/>
    <n v="734"/>
    <n v="13"/>
    <n v="2"/>
    <n v="7.6923076923076927E-3"/>
  </r>
  <r>
    <x v="14"/>
    <x v="14"/>
    <n v="1528"/>
    <s v="Sykkylven"/>
    <n v="360.31"/>
    <n v="289"/>
    <n v="329"/>
    <n v="7626"/>
    <n v="1.1000000000000001"/>
    <n v="229"/>
    <n v="47"/>
    <n v="279"/>
    <m/>
    <m/>
    <s v=""/>
    <n v="540"/>
    <n v="9"/>
    <n v="2"/>
    <n v="5.3254437869822485E-3"/>
  </r>
  <r>
    <x v="1"/>
    <x v="1"/>
    <n v="5046"/>
    <s v="Høylandet"/>
    <n v="357.95"/>
    <n v="290"/>
    <n v="703"/>
    <n v="1235"/>
    <n v="0.51"/>
    <n v="327"/>
    <n v="290"/>
    <n v="103"/>
    <m/>
    <m/>
    <s v=""/>
    <n v="781"/>
    <n v="14"/>
    <n v="2"/>
    <n v="8.2840236686390536E-3"/>
  </r>
  <r>
    <x v="8"/>
    <x v="8"/>
    <n v="3911"/>
    <s v="Færder"/>
    <n v="345.38"/>
    <n v="291"/>
    <n v="100"/>
    <n v="27569"/>
    <n v="3.45"/>
    <n v="24"/>
    <n v="13"/>
    <n v="335"/>
    <m/>
    <m/>
    <s v=""/>
    <n v="377"/>
    <n v="7"/>
    <n v="1"/>
    <n v="4.1420118343195268E-3"/>
  </r>
  <r>
    <x v="1"/>
    <x v="1"/>
    <n v="5020"/>
    <s v="Osen"/>
    <n v="335.79"/>
    <n v="292"/>
    <n v="370"/>
    <n v="891"/>
    <n v="0.91"/>
    <n v="261"/>
    <n v="377"/>
    <n v="73"/>
    <m/>
    <m/>
    <s v=""/>
    <n v="544"/>
    <n v="10"/>
    <n v="2"/>
    <n v="5.9171597633136093E-3"/>
  </r>
  <r>
    <x v="9"/>
    <x v="9"/>
    <n v="1867"/>
    <s v="Bø"/>
    <n v="330.08"/>
    <n v="293"/>
    <n v="235"/>
    <n v="2617"/>
    <n v="1.4"/>
    <n v="188"/>
    <n v="126"/>
    <n v="188"/>
    <m/>
    <m/>
    <s v=""/>
    <n v="451"/>
    <n v="8"/>
    <n v="2"/>
    <n v="4.7337278106508876E-3"/>
  </r>
  <r>
    <x v="0"/>
    <x v="0"/>
    <n v="5630"/>
    <s v="Berlevåg"/>
    <n v="328.46"/>
    <n v="294"/>
    <n v="1083"/>
    <n v="890"/>
    <n v="0.3"/>
    <n v="352"/>
    <n v="369"/>
    <n v="77"/>
    <m/>
    <m/>
    <s v=""/>
    <n v="1002"/>
    <n v="17"/>
    <n v="3"/>
    <n v="1.0059171597633136E-2"/>
  </r>
  <r>
    <x v="9"/>
    <x v="9"/>
    <n v="1868"/>
    <s v="Øksnes"/>
    <n v="323.61"/>
    <n v="295"/>
    <n v="311"/>
    <n v="4628"/>
    <n v="1.04"/>
    <n v="240"/>
    <n v="70"/>
    <n v="249"/>
    <m/>
    <m/>
    <s v=""/>
    <n v="495"/>
    <n v="9"/>
    <n v="2"/>
    <n v="5.3254437869822485E-3"/>
  </r>
  <r>
    <x v="5"/>
    <x v="5"/>
    <n v="4623"/>
    <s v="Samnanger"/>
    <n v="320.94"/>
    <n v="296"/>
    <n v="257"/>
    <n v="2491"/>
    <n v="1.25"/>
    <n v="212"/>
    <n v="129"/>
    <n v="183"/>
    <m/>
    <m/>
    <s v=""/>
    <n v="457"/>
    <n v="8"/>
    <n v="2"/>
    <n v="4.7337278106508876E-3"/>
  </r>
  <r>
    <x v="9"/>
    <x v="9"/>
    <n v="1820"/>
    <s v="Alstahaug"/>
    <n v="315.32"/>
    <n v="297"/>
    <n v="187"/>
    <n v="7465"/>
    <n v="1.69"/>
    <n v="156"/>
    <n v="42"/>
    <n v="289"/>
    <m/>
    <m/>
    <s v=""/>
    <n v="407"/>
    <n v="7"/>
    <n v="1"/>
    <n v="4.1420118343195268E-3"/>
  </r>
  <r>
    <x v="7"/>
    <x v="7"/>
    <n v="5528"/>
    <s v="Dyrøy"/>
    <n v="305.35000000000002"/>
    <n v="298"/>
    <n v="277"/>
    <n v="1069"/>
    <n v="1.1000000000000001"/>
    <n v="229"/>
    <n v="286"/>
    <n v="104"/>
    <m/>
    <m/>
    <s v=""/>
    <n v="456"/>
    <n v="8"/>
    <n v="2"/>
    <n v="4.7337278106508876E-3"/>
  </r>
  <r>
    <x v="7"/>
    <x v="7"/>
    <n v="5516"/>
    <s v="Gratangen"/>
    <n v="299.02"/>
    <n v="299"/>
    <n v="306"/>
    <n v="1062"/>
    <n v="0.98"/>
    <n v="252"/>
    <n v="282"/>
    <n v="107"/>
    <m/>
    <m/>
    <s v=""/>
    <n v="469"/>
    <n v="8"/>
    <n v="2"/>
    <n v="4.7337278106508876E-3"/>
  </r>
  <r>
    <x v="9"/>
    <x v="9"/>
    <n v="1822"/>
    <s v="Leirfjord"/>
    <n v="297.77999999999997"/>
    <n v="300"/>
    <n v="451"/>
    <n v="2354"/>
    <n v="0.66"/>
    <n v="304"/>
    <n v="126"/>
    <n v="188"/>
    <m/>
    <m/>
    <s v=""/>
    <n v="563"/>
    <n v="10"/>
    <n v="2"/>
    <n v="5.9171597633136093E-3"/>
  </r>
  <r>
    <x v="0"/>
    <x v="0"/>
    <n v="5614"/>
    <s v="Loppa"/>
    <n v="289.52"/>
    <n v="301"/>
    <n v="671"/>
    <n v="864"/>
    <n v="0.43"/>
    <n v="339"/>
    <n v="335"/>
    <n v="93"/>
    <m/>
    <m/>
    <s v=""/>
    <n v="698"/>
    <n v="12"/>
    <n v="2"/>
    <n v="7.100591715976331E-3"/>
  </r>
  <r>
    <x v="12"/>
    <x v="12"/>
    <n v="3214"/>
    <s v="Frogn"/>
    <n v="284.07"/>
    <n v="302"/>
    <n v="85"/>
    <n v="16337"/>
    <n v="3.34"/>
    <n v="30"/>
    <n v="17"/>
    <n v="326"/>
    <m/>
    <m/>
    <s v=""/>
    <n v="312"/>
    <n v="6"/>
    <n v="1"/>
    <n v="3.5502958579881655E-3"/>
  </r>
  <r>
    <x v="9"/>
    <x v="9"/>
    <n v="1851"/>
    <s v="Lødingen"/>
    <n v="283.95"/>
    <n v="303"/>
    <n v="508"/>
    <n v="2067"/>
    <n v="0.56000000000000005"/>
    <n v="318"/>
    <n v="137"/>
    <n v="175"/>
    <m/>
    <m/>
    <s v=""/>
    <n v="587"/>
    <n v="10"/>
    <n v="2"/>
    <n v="5.9171597633136093E-3"/>
  </r>
  <r>
    <x v="14"/>
    <x v="14"/>
    <n v="1515"/>
    <s v="Herøy"/>
    <n v="273.64999999999998"/>
    <n v="304"/>
    <n v="118"/>
    <n v="9031"/>
    <n v="2.3199999999999998"/>
    <n v="91"/>
    <n v="30"/>
    <n v="304"/>
    <m/>
    <m/>
    <s v=""/>
    <n v="324"/>
    <n v="6"/>
    <n v="1"/>
    <n v="3.5502958579881655E-3"/>
  </r>
  <r>
    <x v="13"/>
    <x v="13"/>
    <n v="3124"/>
    <s v="Aremark"/>
    <n v="273.62"/>
    <n v="305"/>
    <n v="282"/>
    <n v="1346"/>
    <n v="0.97"/>
    <n v="254"/>
    <n v="203"/>
    <n v="139"/>
    <m/>
    <m/>
    <s v=""/>
    <n v="431"/>
    <n v="8"/>
    <n v="2"/>
    <n v="4.7337278106508876E-3"/>
  </r>
  <r>
    <x v="11"/>
    <x v="11"/>
    <n v="1120"/>
    <s v="Klepp"/>
    <n v="269.39"/>
    <n v="306"/>
    <n v="102"/>
    <n v="21186"/>
    <n v="2.64"/>
    <n v="68"/>
    <n v="13"/>
    <n v="335"/>
    <m/>
    <m/>
    <s v=""/>
    <n v="310"/>
    <n v="6"/>
    <n v="1"/>
    <n v="3.5502958579881655E-3"/>
  </r>
  <r>
    <x v="7"/>
    <x v="7"/>
    <n v="5518"/>
    <s v="Loabák - Lavangen"/>
    <n v="263.07"/>
    <n v="307"/>
    <n v="296"/>
    <n v="985"/>
    <n v="0.89"/>
    <n v="266"/>
    <n v="267"/>
    <n v="114"/>
    <m/>
    <m/>
    <s v=""/>
    <n v="430"/>
    <n v="8"/>
    <n v="2"/>
    <n v="4.7337278106508876E-3"/>
  </r>
  <r>
    <x v="12"/>
    <x v="12"/>
    <n v="3218"/>
    <s v="Ås"/>
    <n v="259.82"/>
    <n v="308"/>
    <n v="101"/>
    <n v="22344"/>
    <n v="2.57"/>
    <n v="74"/>
    <n v="12"/>
    <n v="339"/>
    <m/>
    <m/>
    <s v=""/>
    <n v="300"/>
    <n v="5"/>
    <n v="1"/>
    <n v="2.9585798816568047E-3"/>
  </r>
  <r>
    <x v="13"/>
    <x v="13"/>
    <n v="3110"/>
    <s v="Hvaler"/>
    <n v="258.87"/>
    <n v="309"/>
    <n v="90"/>
    <n v="4777"/>
    <n v="2.88"/>
    <n v="49"/>
    <n v="54"/>
    <n v="269"/>
    <m/>
    <m/>
    <s v=""/>
    <n v="292"/>
    <n v="5"/>
    <n v="1"/>
    <n v="2.9585798816568047E-3"/>
  </r>
  <r>
    <x v="14"/>
    <x v="14"/>
    <n v="1516"/>
    <s v="Ulstein"/>
    <n v="258.29000000000002"/>
    <n v="310"/>
    <n v="95"/>
    <n v="8862"/>
    <n v="2.72"/>
    <n v="61"/>
    <n v="29"/>
    <n v="305"/>
    <m/>
    <m/>
    <s v=""/>
    <n v="295"/>
    <n v="5"/>
    <n v="1"/>
    <n v="2.9585798816568047E-3"/>
  </r>
  <r>
    <x v="9"/>
    <x v="9"/>
    <n v="1812"/>
    <s v="Sømna"/>
    <n v="255.87"/>
    <n v="311"/>
    <n v="192"/>
    <n v="1979"/>
    <n v="1.33"/>
    <n v="201"/>
    <n v="129"/>
    <n v="183"/>
    <m/>
    <m/>
    <s v=""/>
    <n v="356"/>
    <n v="6"/>
    <n v="1"/>
    <n v="3.5502958579881655E-3"/>
  </r>
  <r>
    <x v="1"/>
    <x v="1"/>
    <n v="5036"/>
    <s v="Frosta"/>
    <n v="248.35"/>
    <n v="312"/>
    <n v="74"/>
    <n v="2661"/>
    <n v="3.36"/>
    <n v="29"/>
    <n v="93"/>
    <n v="223"/>
    <n v="38"/>
    <n v="231"/>
    <n v="-7"/>
    <n v="273"/>
    <n v="5"/>
    <n v="1"/>
    <n v="2.9585798816568047E-3"/>
  </r>
  <r>
    <x v="5"/>
    <x v="5"/>
    <n v="4629"/>
    <s v="Modalen"/>
    <n v="247.66"/>
    <n v="313"/>
    <n v="379"/>
    <n v="392"/>
    <n v="0.65"/>
    <n v="306"/>
    <n v="632"/>
    <n v="30"/>
    <m/>
    <m/>
    <s v=""/>
    <n v="470"/>
    <n v="8"/>
    <n v="2"/>
    <n v="4.7337278106508876E-3"/>
  </r>
  <r>
    <x v="0"/>
    <x v="0"/>
    <n v="5626"/>
    <s v="Gamvik"/>
    <n v="240.08"/>
    <n v="314"/>
    <n v="1355"/>
    <n v="1051"/>
    <n v="0.18"/>
    <n v="355"/>
    <n v="228"/>
    <n v="130"/>
    <m/>
    <m/>
    <s v=""/>
    <n v="1099"/>
    <n v="19"/>
    <n v="3"/>
    <n v="1.1242603550295858E-2"/>
  </r>
  <r>
    <x v="0"/>
    <x v="0"/>
    <n v="5616"/>
    <s v="Hasvik"/>
    <n v="239.66"/>
    <n v="315"/>
    <n v="534"/>
    <n v="977"/>
    <n v="0.45"/>
    <n v="334"/>
    <n v="245"/>
    <n v="120"/>
    <m/>
    <m/>
    <s v=""/>
    <n v="564"/>
    <n v="10"/>
    <n v="2"/>
    <n v="5.9171597633136093E-3"/>
  </r>
  <r>
    <x v="9"/>
    <x v="9"/>
    <n v="1836"/>
    <s v="Rødøy"/>
    <n v="232.38"/>
    <n v="316"/>
    <n v="686"/>
    <n v="1160"/>
    <n v="0.34"/>
    <n v="348"/>
    <n v="200"/>
    <n v="141"/>
    <m/>
    <m/>
    <s v=""/>
    <n v="657"/>
    <n v="11"/>
    <n v="2"/>
    <n v="6.5088757396449702E-3"/>
  </r>
  <r>
    <x v="11"/>
    <x v="11"/>
    <n v="1111"/>
    <s v="Sokndal"/>
    <n v="229.21"/>
    <n v="317"/>
    <n v="267"/>
    <n v="3371"/>
    <n v="0.86"/>
    <n v="273"/>
    <n v="68"/>
    <n v="253"/>
    <m/>
    <m/>
    <s v=""/>
    <n v="381"/>
    <n v="7"/>
    <n v="1"/>
    <n v="4.1420118343195268E-3"/>
  </r>
  <r>
    <x v="0"/>
    <x v="0"/>
    <n v="5632"/>
    <s v="Båtsfjord"/>
    <n v="228.2"/>
    <n v="318"/>
    <n v="1417"/>
    <n v="2107"/>
    <n v="0.16"/>
    <n v="356"/>
    <n v="108"/>
    <n v="207"/>
    <m/>
    <m/>
    <s v=""/>
    <n v="1129"/>
    <n v="19"/>
    <n v="3"/>
    <n v="1.1242603550295858E-2"/>
  </r>
  <r>
    <x v="9"/>
    <x v="9"/>
    <n v="1859"/>
    <s v="Flakstad"/>
    <n v="226.52"/>
    <n v="319"/>
    <n v="169"/>
    <n v="1266"/>
    <n v="1.34"/>
    <n v="198"/>
    <n v="179"/>
    <n v="152"/>
    <m/>
    <m/>
    <s v=""/>
    <n v="315"/>
    <n v="6"/>
    <n v="1"/>
    <n v="3.5502958579881655E-3"/>
  </r>
  <r>
    <x v="14"/>
    <x v="14"/>
    <n v="1505"/>
    <s v="Kristiansund"/>
    <n v="225.4"/>
    <n v="320"/>
    <n v="86"/>
    <n v="24578"/>
    <n v="2.62"/>
    <n v="70"/>
    <n v="9"/>
    <n v="345"/>
    <m/>
    <m/>
    <s v=""/>
    <n v="260"/>
    <n v="5"/>
    <n v="1"/>
    <n v="2.9585798816568047E-3"/>
  </r>
  <r>
    <x v="12"/>
    <x v="12"/>
    <n v="3212"/>
    <s v="Nesodden"/>
    <n v="224.69"/>
    <n v="321"/>
    <n v="61"/>
    <n v="20698"/>
    <n v="3.68"/>
    <n v="14"/>
    <n v="11"/>
    <n v="341"/>
    <m/>
    <m/>
    <s v=""/>
    <n v="243"/>
    <n v="5"/>
    <n v="1"/>
    <n v="2.9585798816568047E-3"/>
  </r>
  <r>
    <x v="12"/>
    <x v="12"/>
    <n v="3224"/>
    <s v="Rælingen"/>
    <n v="222.81"/>
    <n v="322"/>
    <n v="56"/>
    <n v="20509"/>
    <n v="3.98"/>
    <n v="7"/>
    <n v="11"/>
    <n v="341"/>
    <m/>
    <m/>
    <s v=""/>
    <n v="238"/>
    <n v="4"/>
    <n v="1"/>
    <n v="2.3668639053254438E-3"/>
  </r>
  <r>
    <x v="0"/>
    <x v="0"/>
    <n v="5634"/>
    <s v="Vardø"/>
    <n v="221.56"/>
    <n v="323"/>
    <n v="585"/>
    <n v="1982"/>
    <n v="0.38"/>
    <n v="343"/>
    <n v="112"/>
    <n v="202"/>
    <m/>
    <m/>
    <s v=""/>
    <n v="581"/>
    <n v="10"/>
    <n v="2"/>
    <n v="5.9171597633136093E-3"/>
  </r>
  <r>
    <x v="14"/>
    <x v="14"/>
    <n v="1514"/>
    <s v="Sande"/>
    <n v="219.16"/>
    <n v="324"/>
    <n v="90"/>
    <n v="2435"/>
    <n v="2.44"/>
    <n v="85"/>
    <n v="90"/>
    <n v="228"/>
    <m/>
    <m/>
    <s v=""/>
    <n v="257"/>
    <n v="5"/>
    <n v="1"/>
    <n v="2.9585798816568047E-3"/>
  </r>
  <r>
    <x v="5"/>
    <x v="5"/>
    <n v="4625"/>
    <s v="Austevoll"/>
    <n v="210.14"/>
    <n v="325"/>
    <n v="114"/>
    <n v="5437"/>
    <n v="1.84"/>
    <n v="140"/>
    <n v="39"/>
    <n v="294"/>
    <m/>
    <m/>
    <s v=""/>
    <n v="264"/>
    <n v="5"/>
    <n v="1"/>
    <n v="2.9585798816568047E-3"/>
  </r>
  <r>
    <x v="14"/>
    <x v="14"/>
    <n v="1531"/>
    <s v="Sula"/>
    <n v="209.67"/>
    <n v="326"/>
    <n v="57"/>
    <n v="9759"/>
    <n v="3.68"/>
    <n v="14"/>
    <n v="21"/>
    <n v="321"/>
    <m/>
    <m/>
    <s v=""/>
    <n v="227"/>
    <n v="4"/>
    <n v="1"/>
    <n v="2.3668639053254438E-3"/>
  </r>
  <r>
    <x v="9"/>
    <x v="9"/>
    <n v="1816"/>
    <s v="Vevelstad"/>
    <n v="207.35"/>
    <n v="327"/>
    <n v="516"/>
    <n v="470"/>
    <n v="0.4"/>
    <n v="342"/>
    <n v="441"/>
    <n v="62"/>
    <m/>
    <m/>
    <s v=""/>
    <n v="523"/>
    <n v="9"/>
    <n v="2"/>
    <n v="5.3254437869822485E-3"/>
  </r>
  <r>
    <x v="14"/>
    <x v="14"/>
    <n v="1517"/>
    <s v="Hareid"/>
    <n v="207.21"/>
    <n v="328"/>
    <n v="77"/>
    <n v="5320"/>
    <n v="2.69"/>
    <n v="63"/>
    <n v="39"/>
    <n v="294"/>
    <m/>
    <m/>
    <s v=""/>
    <n v="237"/>
    <n v="4"/>
    <n v="1"/>
    <n v="2.3668639053254438E-3"/>
  </r>
  <r>
    <x v="9"/>
    <x v="9"/>
    <n v="1828"/>
    <s v="Nesna"/>
    <n v="207.19"/>
    <n v="329"/>
    <n v="181"/>
    <n v="1770"/>
    <n v="1.1399999999999999"/>
    <n v="225"/>
    <n v="117"/>
    <n v="198"/>
    <m/>
    <m/>
    <s v=""/>
    <n v="305"/>
    <n v="6"/>
    <n v="1"/>
    <n v="3.5502958579881655E-3"/>
  </r>
  <r>
    <x v="5"/>
    <x v="5"/>
    <n v="4632"/>
    <s v="Austrheim"/>
    <n v="207.18"/>
    <n v="330"/>
    <n v="57"/>
    <n v="2915"/>
    <n v="3.63"/>
    <n v="17"/>
    <n v="71"/>
    <n v="247"/>
    <m/>
    <m/>
    <s v=""/>
    <n v="224"/>
    <n v="4"/>
    <n v="1"/>
    <n v="2.3668639053254438E-3"/>
  </r>
  <r>
    <x v="1"/>
    <x v="1"/>
    <n v="5049"/>
    <s v="Flatanger"/>
    <n v="207.09"/>
    <n v="331"/>
    <n v="434"/>
    <n v="1121"/>
    <n v="0.48"/>
    <n v="332"/>
    <n v="185"/>
    <n v="147"/>
    <m/>
    <m/>
    <s v=""/>
    <n v="470"/>
    <n v="8"/>
    <n v="2"/>
    <n v="4.7337278106508876E-3"/>
  </r>
  <r>
    <x v="13"/>
    <x v="13"/>
    <n v="3112"/>
    <s v="Råde"/>
    <n v="202.34"/>
    <n v="332"/>
    <n v="105"/>
    <n v="7850"/>
    <n v="1.93"/>
    <n v="133"/>
    <n v="26"/>
    <n v="312"/>
    <m/>
    <m/>
    <s v=""/>
    <n v="251"/>
    <n v="5"/>
    <n v="1"/>
    <n v="2.9585798816568047E-3"/>
  </r>
  <r>
    <x v="9"/>
    <x v="9"/>
    <n v="1834"/>
    <s v="Lurøy"/>
    <n v="197.01"/>
    <n v="333"/>
    <n v="258"/>
    <n v="1948"/>
    <n v="0.76"/>
    <n v="290"/>
    <n v="101"/>
    <n v="213"/>
    <m/>
    <m/>
    <s v=""/>
    <n v="346"/>
    <n v="6"/>
    <n v="1"/>
    <n v="3.5502958579881655E-3"/>
  </r>
  <r>
    <x v="11"/>
    <x v="11"/>
    <n v="1124"/>
    <s v="Sola"/>
    <n v="196.46"/>
    <n v="334"/>
    <n v="69"/>
    <n v="29153"/>
    <n v="2.85"/>
    <n v="52"/>
    <n v="7"/>
    <n v="348"/>
    <m/>
    <m/>
    <s v=""/>
    <n v="222"/>
    <n v="4"/>
    <n v="1"/>
    <n v="2.3668639053254438E-3"/>
  </r>
  <r>
    <x v="14"/>
    <x v="14"/>
    <n v="1573"/>
    <s v="Smøla"/>
    <n v="194.02"/>
    <n v="335"/>
    <n v="261"/>
    <n v="2168"/>
    <n v="0.74"/>
    <n v="293"/>
    <n v="89"/>
    <n v="230"/>
    <m/>
    <m/>
    <s v=""/>
    <n v="345"/>
    <n v="6"/>
    <n v="1"/>
    <n v="3.5502958579881655E-3"/>
  </r>
  <r>
    <x v="8"/>
    <x v="8"/>
    <n v="3901"/>
    <s v="Horten"/>
    <n v="193.77"/>
    <n v="336"/>
    <n v="69"/>
    <n v="28039"/>
    <n v="2.81"/>
    <n v="53"/>
    <n v="7"/>
    <n v="348"/>
    <m/>
    <m/>
    <s v=""/>
    <n v="220"/>
    <n v="4"/>
    <n v="1"/>
    <n v="2.3668639053254438E-3"/>
  </r>
  <r>
    <x v="1"/>
    <x v="1"/>
    <n v="5043"/>
    <s v="Raarvihke - Røyrvik"/>
    <n v="188.27"/>
    <n v="337"/>
    <n v="1330"/>
    <n v="443"/>
    <n v="0.14000000000000001"/>
    <n v="357"/>
    <n v="425"/>
    <n v="64"/>
    <m/>
    <m/>
    <s v=""/>
    <n v="1036"/>
    <n v="18"/>
    <n v="3"/>
    <n v="1.0650887573964497E-2"/>
  </r>
  <r>
    <x v="12"/>
    <x v="12"/>
    <n v="3230"/>
    <s v="Gjerdrum"/>
    <n v="184.59"/>
    <n v="338"/>
    <n v="82"/>
    <n v="7453"/>
    <n v="2.25"/>
    <n v="101"/>
    <n v="25"/>
    <n v="314"/>
    <m/>
    <m/>
    <s v=""/>
    <n v="220"/>
    <n v="4"/>
    <n v="1"/>
    <n v="2.3668639053254438E-3"/>
  </r>
  <r>
    <x v="13"/>
    <x v="13"/>
    <n v="3116"/>
    <s v="Skiptvet"/>
    <n v="182.52"/>
    <n v="339"/>
    <n v="93"/>
    <n v="3956"/>
    <n v="1.96"/>
    <n v="131"/>
    <n v="46"/>
    <n v="281"/>
    <m/>
    <m/>
    <s v=""/>
    <n v="225"/>
    <n v="4"/>
    <n v="1"/>
    <n v="2.3668639053254438E-3"/>
  </r>
  <r>
    <x v="9"/>
    <x v="9"/>
    <n v="1827"/>
    <s v="Dønna"/>
    <n v="175.89"/>
    <n v="340"/>
    <n v="186"/>
    <n v="1447"/>
    <n v="0.95"/>
    <n v="260"/>
    <n v="122"/>
    <n v="192"/>
    <m/>
    <m/>
    <s v=""/>
    <n v="280"/>
    <n v="5"/>
    <n v="1"/>
    <n v="2.9585798816568047E-3"/>
  </r>
  <r>
    <x v="12"/>
    <x v="12"/>
    <n v="3222"/>
    <s v="Lørenskog"/>
    <n v="170.12"/>
    <n v="341"/>
    <n v="67"/>
    <n v="50013"/>
    <n v="2.54"/>
    <n v="77"/>
    <n v="3"/>
    <n v="356"/>
    <m/>
    <m/>
    <s v=""/>
    <n v="197"/>
    <n v="4"/>
    <n v="1"/>
    <n v="2.3668639053254438E-3"/>
  </r>
  <r>
    <x v="14"/>
    <x v="14"/>
    <n v="1532"/>
    <s v="Giske"/>
    <n v="147.93"/>
    <n v="342"/>
    <n v="40"/>
    <n v="8773"/>
    <n v="3.7"/>
    <n v="13"/>
    <n v="17"/>
    <n v="326"/>
    <m/>
    <m/>
    <s v=""/>
    <n v="160"/>
    <n v="3"/>
    <n v="1"/>
    <n v="1.7751479289940828E-3"/>
  </r>
  <r>
    <x v="11"/>
    <x v="11"/>
    <n v="1106"/>
    <s v="Haugesund"/>
    <n v="137.88"/>
    <n v="343"/>
    <n v="68"/>
    <n v="38441"/>
    <n v="2.0299999999999998"/>
    <n v="121"/>
    <n v="4"/>
    <n v="355"/>
    <m/>
    <m/>
    <s v=""/>
    <n v="169"/>
    <n v="3"/>
    <n v="1"/>
    <n v="1.7751479289940828E-3"/>
  </r>
  <r>
    <x v="5"/>
    <x v="5"/>
    <n v="4636"/>
    <s v="Solund"/>
    <n v="135.6"/>
    <n v="344"/>
    <n v="219"/>
    <n v="740"/>
    <n v="0.62"/>
    <n v="310"/>
    <n v="183"/>
    <n v="148"/>
    <m/>
    <m/>
    <s v=""/>
    <n v="265"/>
    <n v="5"/>
    <n v="1"/>
    <n v="2.9585798816568047E-3"/>
  </r>
  <r>
    <x v="9"/>
    <x v="9"/>
    <n v="1815"/>
    <s v="Vega"/>
    <n v="132.77000000000001"/>
    <n v="345"/>
    <n v="163"/>
    <n v="1207"/>
    <n v="0.81"/>
    <n v="283"/>
    <n v="110"/>
    <n v="203"/>
    <m/>
    <m/>
    <s v=""/>
    <n v="226"/>
    <n v="4"/>
    <n v="1"/>
    <n v="2.3668639053254438E-3"/>
  </r>
  <r>
    <x v="1"/>
    <x v="1"/>
    <n v="5052"/>
    <s v="Leka"/>
    <n v="110.9"/>
    <n v="346"/>
    <n v="108"/>
    <n v="593"/>
    <n v="1.03"/>
    <n v="244"/>
    <n v="187"/>
    <n v="146"/>
    <m/>
    <m/>
    <s v=""/>
    <n v="171"/>
    <n v="3"/>
    <n v="1"/>
    <n v="1.7751479289940828E-3"/>
  </r>
  <r>
    <x v="14"/>
    <x v="14"/>
    <n v="1547"/>
    <s v="Aukra"/>
    <n v="105.9"/>
    <n v="347"/>
    <n v="61"/>
    <n v="3759"/>
    <n v="1.74"/>
    <n v="148"/>
    <n v="28"/>
    <n v="309"/>
    <m/>
    <m/>
    <s v=""/>
    <n v="135"/>
    <n v="3"/>
    <n v="1"/>
    <n v="1.7751479289940828E-3"/>
  </r>
  <r>
    <x v="11"/>
    <x v="11"/>
    <n v="1145"/>
    <s v="Bokn"/>
    <n v="104.28"/>
    <n v="348"/>
    <n v="45"/>
    <n v="893"/>
    <n v="2.3199999999999998"/>
    <n v="91"/>
    <n v="117"/>
    <n v="198"/>
    <m/>
    <m/>
    <s v=""/>
    <n v="124"/>
    <n v="3"/>
    <n v="1"/>
    <n v="1.7751479289940828E-3"/>
  </r>
  <r>
    <x v="9"/>
    <x v="9"/>
    <n v="1874"/>
    <s v="Moskenes"/>
    <n v="88.58"/>
    <n v="349"/>
    <n v="110"/>
    <n v="969"/>
    <n v="0.81"/>
    <n v="283"/>
    <n v="91"/>
    <n v="227"/>
    <m/>
    <m/>
    <s v=""/>
    <n v="152"/>
    <n v="3"/>
    <n v="1"/>
    <n v="1.7751479289940828E-3"/>
  </r>
  <r>
    <x v="9"/>
    <x v="9"/>
    <n v="1818"/>
    <s v="Herøy"/>
    <n v="88.32"/>
    <n v="350"/>
    <n v="64"/>
    <n v="1888"/>
    <n v="1.38"/>
    <n v="194"/>
    <n v="47"/>
    <n v="279"/>
    <m/>
    <m/>
    <s v=""/>
    <n v="121"/>
    <n v="3"/>
    <n v="1"/>
    <n v="1.7751479289940828E-3"/>
  </r>
  <r>
    <x v="11"/>
    <x v="11"/>
    <n v="1127"/>
    <s v="Randaberg"/>
    <n v="82.1"/>
    <n v="351"/>
    <n v="24"/>
    <n v="11795"/>
    <n v="3.42"/>
    <n v="28"/>
    <n v="7"/>
    <n v="348"/>
    <m/>
    <m/>
    <s v=""/>
    <n v="90"/>
    <n v="2"/>
    <n v="1"/>
    <n v="1.1834319526627219E-3"/>
  </r>
  <r>
    <x v="5"/>
    <x v="5"/>
    <n v="4633"/>
    <s v="Fedje"/>
    <n v="46.72"/>
    <n v="352"/>
    <n v="9"/>
    <n v="521"/>
    <n v="5.19"/>
    <n v="1"/>
    <n v="90"/>
    <n v="228"/>
    <m/>
    <m/>
    <s v=""/>
    <n v="48"/>
    <n v="1"/>
    <n v="1"/>
    <n v="5.9171597633136095E-4"/>
  </r>
  <r>
    <x v="9"/>
    <x v="9"/>
    <n v="1856"/>
    <s v="Røst"/>
    <n v="34.4"/>
    <n v="353"/>
    <n v="10"/>
    <n v="458"/>
    <n v="3.44"/>
    <n v="25"/>
    <n v="75"/>
    <n v="243"/>
    <m/>
    <m/>
    <s v=""/>
    <n v="38"/>
    <n v="1"/>
    <n v="1"/>
    <n v="5.9171597633136095E-4"/>
  </r>
  <r>
    <x v="9"/>
    <x v="9"/>
    <n v="1857"/>
    <s v="Værøy"/>
    <n v="32.369999999999997"/>
    <n v="354"/>
    <n v="19"/>
    <n v="677"/>
    <n v="1.7"/>
    <n v="153"/>
    <n v="48"/>
    <n v="276"/>
    <m/>
    <m/>
    <s v=""/>
    <n v="42"/>
    <n v="1"/>
    <n v="1"/>
    <n v="5.9171597633136095E-4"/>
  </r>
  <r>
    <x v="11"/>
    <x v="11"/>
    <n v="1144"/>
    <s v="Kvitsøy"/>
    <n v="16.53"/>
    <n v="355"/>
    <n v="6"/>
    <n v="570"/>
    <n v="2.76"/>
    <n v="57"/>
    <n v="29"/>
    <n v="305"/>
    <m/>
    <m/>
    <s v=""/>
    <n v="19"/>
    <n v="1"/>
    <n v="1"/>
    <n v="5.9171597633136095E-4"/>
  </r>
  <r>
    <x v="9"/>
    <x v="9"/>
    <n v="1835"/>
    <s v="Træna"/>
    <n v="11.12"/>
    <n v="356"/>
    <n v="16"/>
    <n v="463"/>
    <n v="0.7"/>
    <n v="297"/>
    <n v="24"/>
    <n v="316"/>
    <m/>
    <m/>
    <s v=""/>
    <n v="20"/>
    <n v="1"/>
    <n v="1"/>
    <n v="5.9171597633136095E-4"/>
  </r>
  <r>
    <x v="11"/>
    <x v="11"/>
    <n v="1151"/>
    <s v="Utsira"/>
    <n v="9.33"/>
    <n v="357"/>
    <n v="6"/>
    <n v="217"/>
    <n v="1.56"/>
    <n v="172"/>
    <n v="43"/>
    <n v="286"/>
    <m/>
    <m/>
    <s v=""/>
    <n v="12"/>
    <n v="1"/>
    <n v="1"/>
    <n v="5.9171597633136095E-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A603C-85D1-4AD7-A4DA-49206A11CEC7}" name="Pivottabell2" cacheId="2757" applyNumberFormats="0" applyBorderFormats="0" applyFontFormats="0" applyPatternFormats="0" applyAlignmentFormats="0" applyWidthHeightFormats="1" dataCaption="Verdier" updatedVersion="8" minRefreshableVersion="3" showDrill="0" useAutoFormatting="1" itemPrintTitles="1" createdVersion="8" indent="0" compact="0" compactData="0" gridDropZones="1" multipleFieldFilters="0">
  <location ref="A3:D20" firstHeaderRow="1" firstDataRow="2" firstDataCol="2"/>
  <pivotFields count="19">
    <pivotField axis="axisRow" compact="0" outline="0" showAll="0" defaultSubtotal="0">
      <items count="15">
        <item x="10"/>
        <item x="11"/>
        <item x="14"/>
        <item x="9"/>
        <item x="13"/>
        <item x="12"/>
        <item x="2"/>
        <item x="3"/>
        <item x="8"/>
        <item x="6"/>
        <item x="4"/>
        <item x="5"/>
        <item x="1"/>
        <item x="7"/>
        <item x="0"/>
      </items>
    </pivotField>
    <pivotField axis="axisRow" compact="0" outline="0" showAll="0">
      <items count="16">
        <item x="4"/>
        <item x="12"/>
        <item x="2"/>
        <item x="0"/>
        <item x="3"/>
        <item x="14"/>
        <item x="9"/>
        <item x="10"/>
        <item x="11"/>
        <item x="6"/>
        <item x="7"/>
        <item x="1"/>
        <item x="8"/>
        <item x="5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dataField="1" compact="0" outline="0" showAll="0"/>
    <pivotField dataField="1" compact="0" outline="0" showAll="0"/>
  </pivotFields>
  <rowFields count="2">
    <field x="0"/>
    <field x="1"/>
  </rowFields>
  <rowItems count="16">
    <i>
      <x/>
      <x v="7"/>
    </i>
    <i>
      <x v="1"/>
      <x v="8"/>
    </i>
    <i>
      <x v="2"/>
      <x v="5"/>
    </i>
    <i>
      <x v="3"/>
      <x v="6"/>
    </i>
    <i>
      <x v="4"/>
      <x v="14"/>
    </i>
    <i>
      <x v="5"/>
      <x v="1"/>
    </i>
    <i>
      <x v="6"/>
      <x v="2"/>
    </i>
    <i>
      <x v="7"/>
      <x v="4"/>
    </i>
    <i>
      <x v="8"/>
      <x v="12"/>
    </i>
    <i>
      <x v="9"/>
      <x v="9"/>
    </i>
    <i>
      <x v="10"/>
      <x/>
    </i>
    <i>
      <x v="11"/>
      <x v="13"/>
    </i>
    <i>
      <x v="12"/>
      <x v="11"/>
    </i>
    <i>
      <x v="13"/>
      <x v="10"/>
    </i>
    <i>
      <x v="14"/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mer av Dagsverk" fld="17" baseField="0" baseItem="0"/>
    <dataField name="Summer av Årsverk" fld="18" baseField="0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2082-7B26-4F2B-8CCD-2AFBC747CB1F}">
  <sheetPr>
    <pageSetUpPr fitToPage="1"/>
  </sheetPr>
  <dimension ref="A1:S360"/>
  <sheetViews>
    <sheetView topLeftCell="B1" workbookViewId="0">
      <pane ySplit="1" topLeftCell="A2" activePane="bottomLeft" state="frozen"/>
      <selection pane="bottomLeft" activeCell="A2" sqref="A2"/>
    </sheetView>
  </sheetViews>
  <sheetFormatPr defaultColWidth="11.42578125" defaultRowHeight="15"/>
  <cols>
    <col min="3" max="3" width="8.85546875" bestFit="1" customWidth="1"/>
    <col min="4" max="4" width="34.28515625" bestFit="1" customWidth="1"/>
    <col min="5" max="5" width="11.5703125" bestFit="1" customWidth="1"/>
    <col min="6" max="6" width="19.5703125" bestFit="1" customWidth="1"/>
    <col min="7" max="7" width="12.140625" bestFit="1" customWidth="1"/>
    <col min="8" max="8" width="12.5703125" bestFit="1" customWidth="1"/>
    <col min="9" max="9" width="12.7109375" bestFit="1" customWidth="1"/>
    <col min="10" max="10" width="22.140625" bestFit="1" customWidth="1"/>
    <col min="11" max="11" width="17.140625" bestFit="1" customWidth="1"/>
    <col min="12" max="12" width="25.85546875" bestFit="1" customWidth="1"/>
    <col min="13" max="13" width="12" bestFit="1" customWidth="1"/>
    <col min="14" max="14" width="14" bestFit="1" customWidth="1"/>
    <col min="15" max="15" width="11.42578125" style="1"/>
    <col min="16" max="16" width="19.42578125" style="1" bestFit="1" customWidth="1"/>
    <col min="17" max="17" width="6" style="4" bestFit="1" customWidth="1"/>
    <col min="18" max="18" width="9" style="1" bestFit="1" customWidth="1"/>
    <col min="19" max="19" width="12" style="1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</row>
    <row r="2" spans="1:19">
      <c r="A2">
        <v>56</v>
      </c>
      <c r="B2" t="s">
        <v>19</v>
      </c>
      <c r="C2">
        <v>301</v>
      </c>
      <c r="D2" t="s">
        <v>20</v>
      </c>
      <c r="E2">
        <v>1727.18</v>
      </c>
      <c r="F2">
        <v>32.32</v>
      </c>
      <c r="G2">
        <v>426</v>
      </c>
      <c r="H2">
        <v>724290</v>
      </c>
      <c r="I2">
        <v>4.05</v>
      </c>
      <c r="J2">
        <v>4</v>
      </c>
      <c r="K2">
        <v>2</v>
      </c>
      <c r="L2">
        <v>357</v>
      </c>
      <c r="O2" s="1" t="str">
        <f t="shared" ref="O2:O65" si="0">IF(N2&gt;0,ROUND((N2-E2)/E2*100,1),"")</f>
        <v/>
      </c>
      <c r="P2" s="1">
        <f>ROUND((E2*Tidbruk!$J$1)+(G2*Tidbruk!$J$2),0)</f>
        <v>1838</v>
      </c>
      <c r="Q2" s="4">
        <f>ROUNDUP(P2/60,0)</f>
        <v>31</v>
      </c>
      <c r="R2" s="1">
        <f>ROUNDUP(Q2/7.5,0)</f>
        <v>5</v>
      </c>
      <c r="S2" s="5">
        <f>Q2/1690</f>
        <v>1.8343195266272188E-2</v>
      </c>
    </row>
    <row r="3" spans="1:19">
      <c r="A3">
        <v>50</v>
      </c>
      <c r="B3" t="s">
        <v>21</v>
      </c>
      <c r="C3">
        <v>1101</v>
      </c>
      <c r="D3" t="s">
        <v>22</v>
      </c>
      <c r="E3">
        <v>748.33</v>
      </c>
      <c r="F3">
        <v>194</v>
      </c>
      <c r="G3">
        <v>387</v>
      </c>
      <c r="H3">
        <v>15375</v>
      </c>
      <c r="I3">
        <v>1.93</v>
      </c>
      <c r="J3">
        <v>133</v>
      </c>
      <c r="K3">
        <v>49</v>
      </c>
      <c r="L3">
        <v>274</v>
      </c>
      <c r="O3" s="1" t="str">
        <f t="shared" si="0"/>
        <v/>
      </c>
      <c r="P3" s="1">
        <f>ROUND((E3*Tidbruk!$J$1)+(G3*Tidbruk!$J$2),0)</f>
        <v>928</v>
      </c>
      <c r="Q3" s="4">
        <f t="shared" ref="Q3:Q66" si="1">ROUNDUP(P3/60,0)</f>
        <v>16</v>
      </c>
      <c r="R3" s="1">
        <f t="shared" ref="R3:R66" si="2">ROUNDUP(Q3/7.5,0)</f>
        <v>3</v>
      </c>
      <c r="S3" s="1">
        <f t="shared" ref="S3:S66" si="3">Q3/1690</f>
        <v>9.4674556213017753E-3</v>
      </c>
    </row>
    <row r="4" spans="1:19">
      <c r="A4">
        <v>33</v>
      </c>
      <c r="B4" t="s">
        <v>23</v>
      </c>
      <c r="C4">
        <v>1103</v>
      </c>
      <c r="D4" t="s">
        <v>24</v>
      </c>
      <c r="E4">
        <v>876.87</v>
      </c>
      <c r="F4">
        <v>173</v>
      </c>
      <c r="G4">
        <v>256</v>
      </c>
      <c r="H4">
        <v>150123</v>
      </c>
      <c r="I4">
        <v>3.43</v>
      </c>
      <c r="J4">
        <v>27</v>
      </c>
      <c r="K4">
        <v>6</v>
      </c>
      <c r="L4">
        <v>352</v>
      </c>
      <c r="O4" s="1" t="str">
        <f t="shared" si="0"/>
        <v/>
      </c>
      <c r="P4" s="1">
        <f>ROUND((E4*Tidbruk!$J$1)+(G4*Tidbruk!$J$2),0)</f>
        <v>959</v>
      </c>
      <c r="Q4" s="4">
        <f t="shared" si="1"/>
        <v>16</v>
      </c>
      <c r="R4" s="1">
        <f t="shared" si="2"/>
        <v>3</v>
      </c>
      <c r="S4" s="1">
        <f t="shared" si="3"/>
        <v>9.4674556213017753E-3</v>
      </c>
    </row>
    <row r="5" spans="1:19">
      <c r="A5">
        <v>34</v>
      </c>
      <c r="B5" t="s">
        <v>25</v>
      </c>
      <c r="C5">
        <v>1106</v>
      </c>
      <c r="D5" t="s">
        <v>26</v>
      </c>
      <c r="E5">
        <v>137.88</v>
      </c>
      <c r="F5">
        <v>343</v>
      </c>
      <c r="G5">
        <v>68</v>
      </c>
      <c r="H5">
        <v>38441</v>
      </c>
      <c r="I5">
        <v>2.0299999999999998</v>
      </c>
      <c r="J5">
        <v>121</v>
      </c>
      <c r="K5">
        <v>4</v>
      </c>
      <c r="L5">
        <v>355</v>
      </c>
      <c r="O5" s="1" t="str">
        <f t="shared" si="0"/>
        <v/>
      </c>
      <c r="P5" s="1">
        <f>ROUND((E5*Tidbruk!$J$1)+(G5*Tidbruk!$J$2),0)</f>
        <v>169</v>
      </c>
      <c r="Q5" s="4">
        <f t="shared" si="1"/>
        <v>3</v>
      </c>
      <c r="R5" s="1">
        <f t="shared" si="2"/>
        <v>1</v>
      </c>
      <c r="S5" s="1">
        <f t="shared" si="3"/>
        <v>1.7751479289940828E-3</v>
      </c>
    </row>
    <row r="6" spans="1:19">
      <c r="A6">
        <v>34</v>
      </c>
      <c r="B6" t="s">
        <v>25</v>
      </c>
      <c r="C6">
        <v>1108</v>
      </c>
      <c r="D6" t="s">
        <v>27</v>
      </c>
      <c r="E6">
        <v>1690.13</v>
      </c>
      <c r="F6">
        <v>54</v>
      </c>
      <c r="G6">
        <v>943</v>
      </c>
      <c r="H6">
        <v>84908</v>
      </c>
      <c r="I6">
        <v>1.79</v>
      </c>
      <c r="J6">
        <v>145</v>
      </c>
      <c r="K6">
        <v>20</v>
      </c>
      <c r="L6">
        <v>323</v>
      </c>
      <c r="O6" s="1" t="str">
        <f t="shared" si="0"/>
        <v/>
      </c>
      <c r="P6" s="1">
        <f>ROUND((E6*Tidbruk!$J$1)+(G6*Tidbruk!$J$2),0)</f>
        <v>2141</v>
      </c>
      <c r="Q6" s="4">
        <f t="shared" si="1"/>
        <v>36</v>
      </c>
      <c r="R6" s="1">
        <f t="shared" si="2"/>
        <v>5</v>
      </c>
      <c r="S6" s="1">
        <f t="shared" si="3"/>
        <v>2.1301775147928994E-2</v>
      </c>
    </row>
    <row r="7" spans="1:19">
      <c r="A7">
        <v>42</v>
      </c>
      <c r="B7" t="s">
        <v>28</v>
      </c>
      <c r="C7">
        <v>1111</v>
      </c>
      <c r="D7" t="s">
        <v>29</v>
      </c>
      <c r="E7">
        <v>229.21</v>
      </c>
      <c r="F7">
        <v>317</v>
      </c>
      <c r="G7">
        <v>267</v>
      </c>
      <c r="H7">
        <v>3371</v>
      </c>
      <c r="I7">
        <v>0.86</v>
      </c>
      <c r="J7">
        <v>273</v>
      </c>
      <c r="K7">
        <v>68</v>
      </c>
      <c r="L7">
        <v>253</v>
      </c>
      <c r="O7" s="1" t="str">
        <f t="shared" si="0"/>
        <v/>
      </c>
      <c r="P7" s="1">
        <f>ROUND((E7*Tidbruk!$J$1)+(G7*Tidbruk!$J$2),0)</f>
        <v>381</v>
      </c>
      <c r="Q7" s="4">
        <f t="shared" si="1"/>
        <v>7</v>
      </c>
      <c r="R7" s="1">
        <f t="shared" si="2"/>
        <v>1</v>
      </c>
      <c r="S7" s="1">
        <f t="shared" si="3"/>
        <v>4.1420118343195268E-3</v>
      </c>
    </row>
    <row r="8" spans="1:19">
      <c r="A8">
        <v>34</v>
      </c>
      <c r="B8" t="s">
        <v>25</v>
      </c>
      <c r="C8">
        <v>1112</v>
      </c>
      <c r="D8" t="s">
        <v>30</v>
      </c>
      <c r="E8">
        <v>429.15</v>
      </c>
      <c r="F8">
        <v>275</v>
      </c>
      <c r="G8">
        <v>354</v>
      </c>
      <c r="H8">
        <v>3259</v>
      </c>
      <c r="I8">
        <v>1.21</v>
      </c>
      <c r="J8">
        <v>219</v>
      </c>
      <c r="K8">
        <v>132</v>
      </c>
      <c r="L8">
        <v>180</v>
      </c>
      <c r="O8" s="1" t="str">
        <f t="shared" si="0"/>
        <v/>
      </c>
      <c r="P8" s="1">
        <f>ROUND((E8*Tidbruk!$J$1)+(G8*Tidbruk!$J$2),0)</f>
        <v>618</v>
      </c>
      <c r="Q8" s="4">
        <f t="shared" si="1"/>
        <v>11</v>
      </c>
      <c r="R8" s="1">
        <f t="shared" si="2"/>
        <v>2</v>
      </c>
      <c r="S8" s="1">
        <f t="shared" si="3"/>
        <v>6.5088757396449702E-3</v>
      </c>
    </row>
    <row r="9" spans="1:19">
      <c r="A9">
        <v>33</v>
      </c>
      <c r="B9" t="s">
        <v>23</v>
      </c>
      <c r="C9">
        <v>1114</v>
      </c>
      <c r="D9" t="s">
        <v>31</v>
      </c>
      <c r="E9">
        <v>1016.71</v>
      </c>
      <c r="F9">
        <v>145</v>
      </c>
      <c r="G9">
        <v>577</v>
      </c>
      <c r="H9">
        <v>2905</v>
      </c>
      <c r="I9">
        <v>1.76</v>
      </c>
      <c r="J9">
        <v>147</v>
      </c>
      <c r="K9">
        <v>350</v>
      </c>
      <c r="L9">
        <v>89</v>
      </c>
      <c r="O9" s="1" t="str">
        <f t="shared" si="0"/>
        <v/>
      </c>
      <c r="P9" s="1">
        <f>ROUND((E9*Tidbruk!$J$1)+(G9*Tidbruk!$J$2),0)</f>
        <v>1294</v>
      </c>
      <c r="Q9" s="4">
        <f t="shared" si="1"/>
        <v>22</v>
      </c>
      <c r="R9" s="1">
        <f t="shared" si="2"/>
        <v>3</v>
      </c>
      <c r="S9" s="1">
        <f t="shared" si="3"/>
        <v>1.301775147928994E-2</v>
      </c>
    </row>
    <row r="10" spans="1:19">
      <c r="A10">
        <v>46</v>
      </c>
      <c r="B10" t="s">
        <v>32</v>
      </c>
      <c r="C10">
        <v>1119</v>
      </c>
      <c r="D10" t="s">
        <v>33</v>
      </c>
      <c r="E10">
        <v>786.17</v>
      </c>
      <c r="F10">
        <v>191</v>
      </c>
      <c r="G10">
        <v>248</v>
      </c>
      <c r="H10">
        <v>20067</v>
      </c>
      <c r="I10">
        <v>3.17</v>
      </c>
      <c r="J10">
        <v>36</v>
      </c>
      <c r="K10">
        <v>39</v>
      </c>
      <c r="L10">
        <v>294</v>
      </c>
      <c r="O10" s="1" t="str">
        <f t="shared" si="0"/>
        <v/>
      </c>
      <c r="P10" s="1">
        <f>ROUND((E10*Tidbruk!$J$1)+(G10*Tidbruk!$J$2),0)</f>
        <v>872</v>
      </c>
      <c r="Q10" s="4">
        <f t="shared" si="1"/>
        <v>15</v>
      </c>
      <c r="R10" s="1">
        <f t="shared" si="2"/>
        <v>2</v>
      </c>
      <c r="S10" s="1">
        <f t="shared" si="3"/>
        <v>8.8757396449704144E-3</v>
      </c>
    </row>
    <row r="11" spans="1:19">
      <c r="A11">
        <v>50</v>
      </c>
      <c r="B11" t="s">
        <v>21</v>
      </c>
      <c r="C11">
        <v>1120</v>
      </c>
      <c r="D11" t="s">
        <v>34</v>
      </c>
      <c r="E11">
        <v>269.39</v>
      </c>
      <c r="F11">
        <v>306</v>
      </c>
      <c r="G11">
        <v>102</v>
      </c>
      <c r="H11">
        <v>21186</v>
      </c>
      <c r="I11">
        <v>2.64</v>
      </c>
      <c r="J11">
        <v>68</v>
      </c>
      <c r="K11">
        <v>13</v>
      </c>
      <c r="L11">
        <v>335</v>
      </c>
      <c r="M11">
        <v>576.92881999999997</v>
      </c>
      <c r="N11">
        <v>2280.1711799999998</v>
      </c>
      <c r="O11" s="1">
        <f t="shared" si="0"/>
        <v>746.4</v>
      </c>
      <c r="P11" s="1">
        <f>ROUND((E11*Tidbruk!$J$1)+(G11*Tidbruk!$J$2),0)</f>
        <v>310</v>
      </c>
      <c r="Q11" s="4">
        <f t="shared" si="1"/>
        <v>6</v>
      </c>
      <c r="R11" s="1">
        <f t="shared" si="2"/>
        <v>1</v>
      </c>
      <c r="S11" s="1">
        <f t="shared" si="3"/>
        <v>3.5502958579881655E-3</v>
      </c>
    </row>
    <row r="12" spans="1:19">
      <c r="A12">
        <v>56</v>
      </c>
      <c r="B12" t="s">
        <v>19</v>
      </c>
      <c r="C12">
        <v>1121</v>
      </c>
      <c r="D12" t="s">
        <v>35</v>
      </c>
      <c r="E12">
        <v>692.5</v>
      </c>
      <c r="F12">
        <v>205</v>
      </c>
      <c r="G12">
        <v>171</v>
      </c>
      <c r="H12">
        <v>20157</v>
      </c>
      <c r="I12">
        <v>4.05</v>
      </c>
      <c r="J12">
        <v>4</v>
      </c>
      <c r="K12">
        <v>34</v>
      </c>
      <c r="L12">
        <v>301</v>
      </c>
      <c r="O12" s="1" t="str">
        <f t="shared" si="0"/>
        <v/>
      </c>
      <c r="P12" s="1">
        <f>ROUND((E12*Tidbruk!$J$1)+(G12*Tidbruk!$J$2),0)</f>
        <v>737</v>
      </c>
      <c r="Q12" s="4">
        <f t="shared" si="1"/>
        <v>13</v>
      </c>
      <c r="R12" s="1">
        <f t="shared" si="2"/>
        <v>2</v>
      </c>
      <c r="S12" s="1">
        <f t="shared" si="3"/>
        <v>7.6923076923076927E-3</v>
      </c>
    </row>
    <row r="13" spans="1:19">
      <c r="A13">
        <v>46</v>
      </c>
      <c r="B13" t="s">
        <v>32</v>
      </c>
      <c r="C13">
        <v>1122</v>
      </c>
      <c r="D13" t="s">
        <v>36</v>
      </c>
      <c r="E13">
        <v>904.7</v>
      </c>
      <c r="F13">
        <v>171</v>
      </c>
      <c r="G13">
        <v>558</v>
      </c>
      <c r="H13">
        <v>12536</v>
      </c>
      <c r="I13">
        <v>1.62</v>
      </c>
      <c r="J13">
        <v>161</v>
      </c>
      <c r="K13">
        <v>72</v>
      </c>
      <c r="L13">
        <v>246</v>
      </c>
      <c r="O13" s="1" t="str">
        <f t="shared" si="0"/>
        <v/>
      </c>
      <c r="P13" s="1">
        <f>ROUND((E13*Tidbruk!$J$1)+(G13*Tidbruk!$J$2),0)</f>
        <v>1181</v>
      </c>
      <c r="Q13" s="4">
        <f t="shared" si="1"/>
        <v>20</v>
      </c>
      <c r="R13" s="1">
        <f t="shared" si="2"/>
        <v>3</v>
      </c>
      <c r="S13" s="1">
        <f t="shared" si="3"/>
        <v>1.1834319526627219E-2</v>
      </c>
    </row>
    <row r="14" spans="1:19">
      <c r="A14">
        <v>34</v>
      </c>
      <c r="B14" t="s">
        <v>25</v>
      </c>
      <c r="C14">
        <v>1124</v>
      </c>
      <c r="D14" t="s">
        <v>37</v>
      </c>
      <c r="E14">
        <v>196.46</v>
      </c>
      <c r="F14">
        <v>334</v>
      </c>
      <c r="G14">
        <v>69</v>
      </c>
      <c r="H14">
        <v>29153</v>
      </c>
      <c r="I14">
        <v>2.85</v>
      </c>
      <c r="J14">
        <v>52</v>
      </c>
      <c r="K14">
        <v>7</v>
      </c>
      <c r="L14">
        <v>348</v>
      </c>
      <c r="O14" s="1" t="str">
        <f t="shared" si="0"/>
        <v/>
      </c>
      <c r="P14" s="1">
        <f>ROUND((E14*Tidbruk!$J$1)+(G14*Tidbruk!$J$2),0)</f>
        <v>222</v>
      </c>
      <c r="Q14" s="4">
        <f t="shared" si="1"/>
        <v>4</v>
      </c>
      <c r="R14" s="1">
        <f t="shared" si="2"/>
        <v>1</v>
      </c>
      <c r="S14" s="1">
        <f t="shared" si="3"/>
        <v>2.3668639053254438E-3</v>
      </c>
    </row>
    <row r="15" spans="1:19">
      <c r="A15">
        <v>46</v>
      </c>
      <c r="B15" t="s">
        <v>32</v>
      </c>
      <c r="C15">
        <v>1127</v>
      </c>
      <c r="D15" t="s">
        <v>38</v>
      </c>
      <c r="E15">
        <v>82.1</v>
      </c>
      <c r="F15">
        <v>351</v>
      </c>
      <c r="G15">
        <v>24</v>
      </c>
      <c r="H15">
        <v>11795</v>
      </c>
      <c r="I15">
        <v>3.42</v>
      </c>
      <c r="J15">
        <v>28</v>
      </c>
      <c r="K15">
        <v>7</v>
      </c>
      <c r="L15">
        <v>348</v>
      </c>
      <c r="O15" s="1" t="str">
        <f t="shared" si="0"/>
        <v/>
      </c>
      <c r="P15" s="1">
        <f>ROUND((E15*Tidbruk!$J$1)+(G15*Tidbruk!$J$2),0)</f>
        <v>90</v>
      </c>
      <c r="Q15" s="4">
        <f t="shared" si="1"/>
        <v>2</v>
      </c>
      <c r="R15" s="1">
        <f t="shared" si="2"/>
        <v>1</v>
      </c>
      <c r="S15" s="1">
        <f t="shared" si="3"/>
        <v>1.1834319526627219E-3</v>
      </c>
    </row>
    <row r="16" spans="1:19">
      <c r="A16">
        <v>40</v>
      </c>
      <c r="B16" t="s">
        <v>39</v>
      </c>
      <c r="C16">
        <v>1130</v>
      </c>
      <c r="D16" t="s">
        <v>40</v>
      </c>
      <c r="E16">
        <v>658.74</v>
      </c>
      <c r="F16">
        <v>218</v>
      </c>
      <c r="G16">
        <v>235</v>
      </c>
      <c r="H16">
        <v>13813</v>
      </c>
      <c r="I16">
        <v>2.8</v>
      </c>
      <c r="J16">
        <v>54</v>
      </c>
      <c r="K16">
        <v>48</v>
      </c>
      <c r="L16">
        <v>276</v>
      </c>
      <c r="O16" s="1" t="str">
        <f t="shared" si="0"/>
        <v/>
      </c>
      <c r="P16" s="1">
        <f>ROUND((E16*Tidbruk!$J$1)+(G16*Tidbruk!$J$2),0)</f>
        <v>748</v>
      </c>
      <c r="Q16" s="4">
        <f t="shared" si="1"/>
        <v>13</v>
      </c>
      <c r="R16" s="1">
        <f t="shared" si="2"/>
        <v>2</v>
      </c>
      <c r="S16" s="1">
        <f t="shared" si="3"/>
        <v>7.6923076923076927E-3</v>
      </c>
    </row>
    <row r="17" spans="1:19">
      <c r="A17">
        <v>33</v>
      </c>
      <c r="B17" t="s">
        <v>23</v>
      </c>
      <c r="C17">
        <v>1133</v>
      </c>
      <c r="D17" t="s">
        <v>41</v>
      </c>
      <c r="E17">
        <v>1018.14</v>
      </c>
      <c r="F17">
        <v>144</v>
      </c>
      <c r="G17">
        <v>948</v>
      </c>
      <c r="H17">
        <v>2681</v>
      </c>
      <c r="I17">
        <v>1.07</v>
      </c>
      <c r="J17">
        <v>236</v>
      </c>
      <c r="K17">
        <v>380</v>
      </c>
      <c r="L17">
        <v>72</v>
      </c>
      <c r="O17" s="1" t="str">
        <f t="shared" si="0"/>
        <v/>
      </c>
      <c r="P17" s="1">
        <f>ROUND((E17*Tidbruk!$J$1)+(G17*Tidbruk!$J$2),0)</f>
        <v>1537</v>
      </c>
      <c r="Q17" s="4">
        <f t="shared" si="1"/>
        <v>26</v>
      </c>
      <c r="R17" s="1">
        <f t="shared" si="2"/>
        <v>4</v>
      </c>
      <c r="S17" s="1">
        <f t="shared" si="3"/>
        <v>1.5384615384615385E-2</v>
      </c>
    </row>
    <row r="18" spans="1:19">
      <c r="A18">
        <v>50</v>
      </c>
      <c r="B18" t="s">
        <v>21</v>
      </c>
      <c r="C18">
        <v>1134</v>
      </c>
      <c r="D18" t="s">
        <v>42</v>
      </c>
      <c r="E18">
        <v>1420.06</v>
      </c>
      <c r="F18">
        <v>73</v>
      </c>
      <c r="G18">
        <v>1582</v>
      </c>
      <c r="H18">
        <v>3939</v>
      </c>
      <c r="I18">
        <v>0.9</v>
      </c>
      <c r="J18">
        <v>0.32</v>
      </c>
      <c r="K18">
        <v>361</v>
      </c>
      <c r="L18">
        <v>81</v>
      </c>
      <c r="O18" s="1" t="str">
        <f t="shared" si="0"/>
        <v/>
      </c>
      <c r="P18" s="1">
        <f>ROUND((E18*Tidbruk!$J$1)+(G18*Tidbruk!$J$2),0)</f>
        <v>2313</v>
      </c>
      <c r="Q18" s="4">
        <f t="shared" si="1"/>
        <v>39</v>
      </c>
      <c r="R18" s="1">
        <f t="shared" si="2"/>
        <v>6</v>
      </c>
      <c r="S18" s="1">
        <f t="shared" si="3"/>
        <v>2.3076923076923078E-2</v>
      </c>
    </row>
    <row r="19" spans="1:19">
      <c r="A19">
        <v>56</v>
      </c>
      <c r="B19" t="s">
        <v>19</v>
      </c>
      <c r="C19">
        <v>1135</v>
      </c>
      <c r="D19" t="s">
        <v>43</v>
      </c>
      <c r="E19">
        <v>439.95</v>
      </c>
      <c r="F19">
        <v>271</v>
      </c>
      <c r="G19">
        <v>508</v>
      </c>
      <c r="H19">
        <v>4600</v>
      </c>
      <c r="I19">
        <v>0.87</v>
      </c>
      <c r="J19">
        <v>271</v>
      </c>
      <c r="K19">
        <v>96</v>
      </c>
      <c r="L19">
        <v>218</v>
      </c>
      <c r="O19" s="1" t="str">
        <f t="shared" si="0"/>
        <v/>
      </c>
      <c r="P19" s="1">
        <f>ROUND((E19*Tidbruk!$J$1)+(G19*Tidbruk!$J$2),0)</f>
        <v>728</v>
      </c>
      <c r="Q19" s="4">
        <f t="shared" si="1"/>
        <v>13</v>
      </c>
      <c r="R19" s="1">
        <f t="shared" si="2"/>
        <v>2</v>
      </c>
      <c r="S19" s="1">
        <f t="shared" si="3"/>
        <v>7.6923076923076927E-3</v>
      </c>
    </row>
    <row r="20" spans="1:19">
      <c r="A20">
        <v>55</v>
      </c>
      <c r="B20" t="s">
        <v>44</v>
      </c>
      <c r="C20">
        <v>1144</v>
      </c>
      <c r="D20" t="s">
        <v>45</v>
      </c>
      <c r="E20">
        <v>16.53</v>
      </c>
      <c r="F20">
        <v>355</v>
      </c>
      <c r="G20">
        <v>6</v>
      </c>
      <c r="H20">
        <v>570</v>
      </c>
      <c r="I20">
        <v>2.76</v>
      </c>
      <c r="J20">
        <v>57</v>
      </c>
      <c r="K20">
        <v>29</v>
      </c>
      <c r="L20">
        <v>305</v>
      </c>
      <c r="O20" s="1" t="str">
        <f t="shared" si="0"/>
        <v/>
      </c>
      <c r="P20" s="1">
        <f>ROUND((E20*Tidbruk!$J$1)+(G20*Tidbruk!$J$2),0)</f>
        <v>19</v>
      </c>
      <c r="Q20" s="4">
        <f t="shared" si="1"/>
        <v>1</v>
      </c>
      <c r="R20" s="1">
        <f t="shared" si="2"/>
        <v>1</v>
      </c>
      <c r="S20" s="1">
        <f t="shared" si="3"/>
        <v>5.9171597633136095E-4</v>
      </c>
    </row>
    <row r="21" spans="1:19">
      <c r="A21">
        <v>55</v>
      </c>
      <c r="B21" t="s">
        <v>44</v>
      </c>
      <c r="C21">
        <v>1145</v>
      </c>
      <c r="D21" t="s">
        <v>46</v>
      </c>
      <c r="E21">
        <v>104.28</v>
      </c>
      <c r="F21">
        <v>348</v>
      </c>
      <c r="G21">
        <v>45</v>
      </c>
      <c r="H21">
        <v>893</v>
      </c>
      <c r="I21">
        <v>2.3199999999999998</v>
      </c>
      <c r="J21">
        <v>91</v>
      </c>
      <c r="K21">
        <v>117</v>
      </c>
      <c r="L21">
        <v>198</v>
      </c>
      <c r="O21" s="1" t="str">
        <f t="shared" si="0"/>
        <v/>
      </c>
      <c r="P21" s="1">
        <f>ROUND((E21*Tidbruk!$J$1)+(G21*Tidbruk!$J$2),0)</f>
        <v>124</v>
      </c>
      <c r="Q21" s="4">
        <f t="shared" si="1"/>
        <v>3</v>
      </c>
      <c r="R21" s="1">
        <f t="shared" si="2"/>
        <v>1</v>
      </c>
      <c r="S21" s="1">
        <f t="shared" si="3"/>
        <v>1.7751479289940828E-3</v>
      </c>
    </row>
    <row r="22" spans="1:19">
      <c r="A22">
        <v>56</v>
      </c>
      <c r="B22" t="s">
        <v>19</v>
      </c>
      <c r="C22">
        <v>1146</v>
      </c>
      <c r="D22" t="s">
        <v>47</v>
      </c>
      <c r="E22">
        <v>902.17</v>
      </c>
      <c r="F22">
        <v>172</v>
      </c>
      <c r="G22">
        <v>400</v>
      </c>
      <c r="H22">
        <v>11715</v>
      </c>
      <c r="I22">
        <v>2.2599999999999998</v>
      </c>
      <c r="J22">
        <v>99</v>
      </c>
      <c r="K22">
        <v>77</v>
      </c>
      <c r="L22">
        <v>238</v>
      </c>
      <c r="O22" s="1" t="str">
        <f t="shared" si="0"/>
        <v/>
      </c>
      <c r="P22" s="1">
        <f>ROUND((E22*Tidbruk!$J$1)+(G22*Tidbruk!$J$2),0)</f>
        <v>1076</v>
      </c>
      <c r="Q22" s="4">
        <f t="shared" si="1"/>
        <v>18</v>
      </c>
      <c r="R22" s="1">
        <f t="shared" si="2"/>
        <v>3</v>
      </c>
      <c r="S22" s="1">
        <f t="shared" si="3"/>
        <v>1.0650887573964497E-2</v>
      </c>
    </row>
    <row r="23" spans="1:19">
      <c r="A23">
        <v>40</v>
      </c>
      <c r="B23" t="s">
        <v>39</v>
      </c>
      <c r="C23">
        <v>1149</v>
      </c>
      <c r="D23" t="s">
        <v>48</v>
      </c>
      <c r="E23">
        <v>636.48</v>
      </c>
      <c r="F23">
        <v>227</v>
      </c>
      <c r="G23">
        <v>219</v>
      </c>
      <c r="H23">
        <v>43723</v>
      </c>
      <c r="I23">
        <v>2.91</v>
      </c>
      <c r="J23">
        <v>48</v>
      </c>
      <c r="K23">
        <v>15</v>
      </c>
      <c r="L23">
        <v>331</v>
      </c>
      <c r="O23" s="1" t="str">
        <f t="shared" si="0"/>
        <v/>
      </c>
      <c r="P23" s="1">
        <f>ROUND((E23*Tidbruk!$J$1)+(G23*Tidbruk!$J$2),0)</f>
        <v>718</v>
      </c>
      <c r="Q23" s="4">
        <f t="shared" si="1"/>
        <v>12</v>
      </c>
      <c r="R23" s="1">
        <f t="shared" si="2"/>
        <v>2</v>
      </c>
      <c r="S23" s="1">
        <f t="shared" si="3"/>
        <v>7.100591715976331E-3</v>
      </c>
    </row>
    <row r="24" spans="1:19">
      <c r="A24">
        <v>42</v>
      </c>
      <c r="B24" t="s">
        <v>28</v>
      </c>
      <c r="C24">
        <v>1151</v>
      </c>
      <c r="D24" t="s">
        <v>49</v>
      </c>
      <c r="E24">
        <v>9.33</v>
      </c>
      <c r="F24">
        <v>357</v>
      </c>
      <c r="G24">
        <v>6</v>
      </c>
      <c r="H24">
        <v>217</v>
      </c>
      <c r="I24">
        <v>1.56</v>
      </c>
      <c r="J24">
        <v>172</v>
      </c>
      <c r="K24">
        <v>43</v>
      </c>
      <c r="L24">
        <v>286</v>
      </c>
      <c r="O24" s="1" t="str">
        <f t="shared" si="0"/>
        <v/>
      </c>
      <c r="P24" s="1">
        <f>ROUND((E24*Tidbruk!$J$1)+(G24*Tidbruk!$J$2),0)</f>
        <v>12</v>
      </c>
      <c r="Q24" s="4">
        <f t="shared" si="1"/>
        <v>1</v>
      </c>
      <c r="R24" s="1">
        <f t="shared" si="2"/>
        <v>1</v>
      </c>
      <c r="S24" s="1">
        <f t="shared" si="3"/>
        <v>5.9171597633136095E-4</v>
      </c>
    </row>
    <row r="25" spans="1:19">
      <c r="A25">
        <v>34</v>
      </c>
      <c r="B25" t="s">
        <v>25</v>
      </c>
      <c r="C25">
        <v>1160</v>
      </c>
      <c r="D25" t="s">
        <v>50</v>
      </c>
      <c r="E25">
        <v>1235.3900000000001</v>
      </c>
      <c r="F25">
        <v>101</v>
      </c>
      <c r="G25">
        <v>599</v>
      </c>
      <c r="H25">
        <v>9069</v>
      </c>
      <c r="I25">
        <v>2.06</v>
      </c>
      <c r="J25">
        <v>119</v>
      </c>
      <c r="K25">
        <v>136</v>
      </c>
      <c r="L25">
        <v>177</v>
      </c>
      <c r="O25" s="1" t="str">
        <f t="shared" si="0"/>
        <v/>
      </c>
      <c r="P25" s="1">
        <f>ROUND((E25*Tidbruk!$J$1)+(G25*Tidbruk!$J$2),0)</f>
        <v>1506</v>
      </c>
      <c r="Q25" s="4">
        <f t="shared" si="1"/>
        <v>26</v>
      </c>
      <c r="R25" s="1">
        <f t="shared" si="2"/>
        <v>4</v>
      </c>
      <c r="S25" s="1">
        <f t="shared" si="3"/>
        <v>1.5384615384615385E-2</v>
      </c>
    </row>
    <row r="26" spans="1:19">
      <c r="A26">
        <v>33</v>
      </c>
      <c r="B26" t="s">
        <v>23</v>
      </c>
      <c r="C26">
        <v>1505</v>
      </c>
      <c r="D26" t="s">
        <v>51</v>
      </c>
      <c r="E26">
        <v>225.4</v>
      </c>
      <c r="F26">
        <v>320</v>
      </c>
      <c r="G26">
        <v>86</v>
      </c>
      <c r="H26">
        <v>24578</v>
      </c>
      <c r="I26">
        <v>2.62</v>
      </c>
      <c r="J26">
        <v>70</v>
      </c>
      <c r="K26">
        <v>9</v>
      </c>
      <c r="L26">
        <v>345</v>
      </c>
      <c r="O26" s="1" t="str">
        <f t="shared" si="0"/>
        <v/>
      </c>
      <c r="P26" s="1">
        <f>ROUND((E26*Tidbruk!$J$1)+(G26*Tidbruk!$J$2),0)</f>
        <v>260</v>
      </c>
      <c r="Q26" s="4">
        <f t="shared" si="1"/>
        <v>5</v>
      </c>
      <c r="R26" s="1">
        <f t="shared" si="2"/>
        <v>1</v>
      </c>
      <c r="S26" s="1">
        <f t="shared" si="3"/>
        <v>2.9585798816568047E-3</v>
      </c>
    </row>
    <row r="27" spans="1:19">
      <c r="A27">
        <v>34</v>
      </c>
      <c r="B27" t="s">
        <v>25</v>
      </c>
      <c r="C27">
        <v>1506</v>
      </c>
      <c r="D27" t="s">
        <v>52</v>
      </c>
      <c r="E27">
        <v>1539.33</v>
      </c>
      <c r="F27">
        <v>64</v>
      </c>
      <c r="G27">
        <v>1435</v>
      </c>
      <c r="H27">
        <v>33163</v>
      </c>
      <c r="I27">
        <v>1.07</v>
      </c>
      <c r="J27">
        <v>236</v>
      </c>
      <c r="K27">
        <v>46</v>
      </c>
      <c r="L27">
        <v>281</v>
      </c>
      <c r="O27" s="1" t="str">
        <f t="shared" si="0"/>
        <v/>
      </c>
      <c r="P27" s="1">
        <f>ROUND((E27*Tidbruk!$J$1)+(G27*Tidbruk!$J$2),0)</f>
        <v>2325</v>
      </c>
      <c r="Q27" s="4">
        <f t="shared" si="1"/>
        <v>39</v>
      </c>
      <c r="R27" s="1">
        <f t="shared" si="2"/>
        <v>6</v>
      </c>
      <c r="S27" s="1">
        <f t="shared" si="3"/>
        <v>2.3076923076923078E-2</v>
      </c>
    </row>
    <row r="28" spans="1:19">
      <c r="A28">
        <v>34</v>
      </c>
      <c r="B28" t="s">
        <v>25</v>
      </c>
      <c r="C28">
        <v>1508</v>
      </c>
      <c r="D28" t="s">
        <v>53</v>
      </c>
      <c r="E28">
        <v>788.97</v>
      </c>
      <c r="F28">
        <v>190</v>
      </c>
      <c r="G28">
        <v>353</v>
      </c>
      <c r="H28">
        <v>59198</v>
      </c>
      <c r="I28">
        <v>2.2400000000000002</v>
      </c>
      <c r="J28">
        <v>102</v>
      </c>
      <c r="K28">
        <v>13</v>
      </c>
      <c r="L28">
        <v>335</v>
      </c>
      <c r="O28" s="1" t="str">
        <f t="shared" si="0"/>
        <v/>
      </c>
      <c r="P28" s="1">
        <f>ROUND((E28*Tidbruk!$J$1)+(G28*Tidbruk!$J$2),0)</f>
        <v>943</v>
      </c>
      <c r="Q28" s="4">
        <f t="shared" si="1"/>
        <v>16</v>
      </c>
      <c r="R28" s="1">
        <f t="shared" si="2"/>
        <v>3</v>
      </c>
      <c r="S28" s="1">
        <f t="shared" si="3"/>
        <v>9.4674556213017753E-3</v>
      </c>
    </row>
    <row r="29" spans="1:19">
      <c r="A29">
        <v>33</v>
      </c>
      <c r="B29" t="s">
        <v>23</v>
      </c>
      <c r="C29">
        <v>1511</v>
      </c>
      <c r="D29" t="s">
        <v>54</v>
      </c>
      <c r="E29">
        <v>497.82</v>
      </c>
      <c r="F29">
        <v>253</v>
      </c>
      <c r="G29">
        <v>365</v>
      </c>
      <c r="H29">
        <v>3048</v>
      </c>
      <c r="I29">
        <v>1.36</v>
      </c>
      <c r="J29">
        <v>196</v>
      </c>
      <c r="K29">
        <v>163</v>
      </c>
      <c r="L29">
        <v>158</v>
      </c>
      <c r="O29" s="1" t="str">
        <f t="shared" si="0"/>
        <v/>
      </c>
      <c r="P29" s="1">
        <f>ROUND((E29*Tidbruk!$J$1)+(G29*Tidbruk!$J$2),0)</f>
        <v>687</v>
      </c>
      <c r="Q29" s="4">
        <f t="shared" si="1"/>
        <v>12</v>
      </c>
      <c r="R29" s="1">
        <f t="shared" si="2"/>
        <v>2</v>
      </c>
      <c r="S29" s="1">
        <f t="shared" si="3"/>
        <v>7.100591715976331E-3</v>
      </c>
    </row>
    <row r="30" spans="1:19">
      <c r="A30">
        <v>34</v>
      </c>
      <c r="B30" t="s">
        <v>25</v>
      </c>
      <c r="C30">
        <v>1514</v>
      </c>
      <c r="D30" t="s">
        <v>55</v>
      </c>
      <c r="E30">
        <v>219.16</v>
      </c>
      <c r="F30">
        <v>324</v>
      </c>
      <c r="G30">
        <v>90</v>
      </c>
      <c r="H30">
        <v>2435</v>
      </c>
      <c r="I30">
        <v>2.44</v>
      </c>
      <c r="J30">
        <v>85</v>
      </c>
      <c r="K30">
        <v>90</v>
      </c>
      <c r="L30">
        <v>228</v>
      </c>
      <c r="O30" s="1" t="str">
        <f t="shared" si="0"/>
        <v/>
      </c>
      <c r="P30" s="1">
        <f>ROUND((E30*Tidbruk!$J$1)+(G30*Tidbruk!$J$2),0)</f>
        <v>257</v>
      </c>
      <c r="Q30" s="4">
        <f t="shared" si="1"/>
        <v>5</v>
      </c>
      <c r="R30" s="1">
        <f t="shared" si="2"/>
        <v>1</v>
      </c>
      <c r="S30" s="1">
        <f t="shared" si="3"/>
        <v>2.9585798816568047E-3</v>
      </c>
    </row>
    <row r="31" spans="1:19">
      <c r="A31">
        <v>50</v>
      </c>
      <c r="B31" t="s">
        <v>21</v>
      </c>
      <c r="C31">
        <v>1515</v>
      </c>
      <c r="D31" t="s">
        <v>56</v>
      </c>
      <c r="E31">
        <v>273.64999999999998</v>
      </c>
      <c r="F31">
        <v>304</v>
      </c>
      <c r="G31">
        <v>118</v>
      </c>
      <c r="H31">
        <v>9031</v>
      </c>
      <c r="I31">
        <v>2.3199999999999998</v>
      </c>
      <c r="J31">
        <v>91</v>
      </c>
      <c r="K31">
        <v>30</v>
      </c>
      <c r="L31">
        <v>304</v>
      </c>
      <c r="O31" s="1" t="str">
        <f t="shared" si="0"/>
        <v/>
      </c>
      <c r="P31" s="1">
        <f>ROUND((E31*Tidbruk!$J$1)+(G31*Tidbruk!$J$2),0)</f>
        <v>324</v>
      </c>
      <c r="Q31" s="4">
        <f t="shared" si="1"/>
        <v>6</v>
      </c>
      <c r="R31" s="1">
        <f t="shared" si="2"/>
        <v>1</v>
      </c>
      <c r="S31" s="1">
        <f t="shared" si="3"/>
        <v>3.5502958579881655E-3</v>
      </c>
    </row>
    <row r="32" spans="1:19">
      <c r="A32">
        <v>55</v>
      </c>
      <c r="B32" t="s">
        <v>44</v>
      </c>
      <c r="C32">
        <v>1516</v>
      </c>
      <c r="D32" t="s">
        <v>57</v>
      </c>
      <c r="E32">
        <v>258.29000000000002</v>
      </c>
      <c r="F32">
        <v>310</v>
      </c>
      <c r="G32">
        <v>95</v>
      </c>
      <c r="H32">
        <v>8862</v>
      </c>
      <c r="I32">
        <v>2.72</v>
      </c>
      <c r="J32">
        <v>61</v>
      </c>
      <c r="K32">
        <v>29</v>
      </c>
      <c r="L32">
        <v>305</v>
      </c>
      <c r="O32" s="1" t="str">
        <f t="shared" si="0"/>
        <v/>
      </c>
      <c r="P32" s="1">
        <f>ROUND((E32*Tidbruk!$J$1)+(G32*Tidbruk!$J$2),0)</f>
        <v>295</v>
      </c>
      <c r="Q32" s="4">
        <f t="shared" si="1"/>
        <v>5</v>
      </c>
      <c r="R32" s="1">
        <f t="shared" si="2"/>
        <v>1</v>
      </c>
      <c r="S32" s="1">
        <f t="shared" si="3"/>
        <v>2.9585798816568047E-3</v>
      </c>
    </row>
    <row r="33" spans="1:19">
      <c r="A33">
        <v>34</v>
      </c>
      <c r="B33" t="s">
        <v>25</v>
      </c>
      <c r="C33">
        <v>1517</v>
      </c>
      <c r="D33" t="s">
        <v>58</v>
      </c>
      <c r="E33">
        <v>207.21</v>
      </c>
      <c r="F33">
        <v>328</v>
      </c>
      <c r="G33">
        <v>77</v>
      </c>
      <c r="H33">
        <v>5320</v>
      </c>
      <c r="I33">
        <v>2.69</v>
      </c>
      <c r="J33">
        <v>63</v>
      </c>
      <c r="K33">
        <v>39</v>
      </c>
      <c r="L33">
        <v>294</v>
      </c>
      <c r="O33" s="1" t="str">
        <f t="shared" si="0"/>
        <v/>
      </c>
      <c r="P33" s="1">
        <f>ROUND((E33*Tidbruk!$J$1)+(G33*Tidbruk!$J$2),0)</f>
        <v>237</v>
      </c>
      <c r="Q33" s="4">
        <f t="shared" si="1"/>
        <v>4</v>
      </c>
      <c r="R33" s="1">
        <f t="shared" si="2"/>
        <v>1</v>
      </c>
      <c r="S33" s="1">
        <f t="shared" si="3"/>
        <v>2.3668639053254438E-3</v>
      </c>
    </row>
    <row r="34" spans="1:19">
      <c r="A34">
        <v>56</v>
      </c>
      <c r="B34" t="s">
        <v>19</v>
      </c>
      <c r="C34">
        <v>1520</v>
      </c>
      <c r="D34" t="s">
        <v>59</v>
      </c>
      <c r="E34">
        <v>873.79</v>
      </c>
      <c r="F34">
        <v>174</v>
      </c>
      <c r="G34">
        <v>650</v>
      </c>
      <c r="H34">
        <v>11055</v>
      </c>
      <c r="I34">
        <v>1.34</v>
      </c>
      <c r="J34">
        <v>198</v>
      </c>
      <c r="K34">
        <v>79</v>
      </c>
      <c r="L34">
        <v>237</v>
      </c>
      <c r="O34" s="1" t="str">
        <f t="shared" si="0"/>
        <v/>
      </c>
      <c r="P34" s="1">
        <f>ROUND((E34*Tidbruk!$J$1)+(G34*Tidbruk!$J$2),0)</f>
        <v>1213</v>
      </c>
      <c r="Q34" s="4">
        <f t="shared" si="1"/>
        <v>21</v>
      </c>
      <c r="R34" s="1">
        <f t="shared" si="2"/>
        <v>3</v>
      </c>
      <c r="S34" s="1">
        <f t="shared" si="3"/>
        <v>1.242603550295858E-2</v>
      </c>
    </row>
    <row r="35" spans="1:19">
      <c r="A35">
        <v>39</v>
      </c>
      <c r="B35" t="s">
        <v>60</v>
      </c>
      <c r="C35">
        <v>1525</v>
      </c>
      <c r="D35" t="s">
        <v>61</v>
      </c>
      <c r="E35">
        <v>523.16</v>
      </c>
      <c r="F35">
        <v>247</v>
      </c>
      <c r="G35">
        <v>844</v>
      </c>
      <c r="H35">
        <v>4380</v>
      </c>
      <c r="I35">
        <v>0.62</v>
      </c>
      <c r="J35">
        <v>310</v>
      </c>
      <c r="K35">
        <v>119</v>
      </c>
      <c r="L35">
        <v>195</v>
      </c>
      <c r="O35" s="1" t="str">
        <f t="shared" si="0"/>
        <v/>
      </c>
      <c r="P35" s="1">
        <f>ROUND((E35*Tidbruk!$J$1)+(G35*Tidbruk!$J$2),0)</f>
        <v>1022</v>
      </c>
      <c r="Q35" s="4">
        <f t="shared" si="1"/>
        <v>18</v>
      </c>
      <c r="R35" s="1">
        <f t="shared" si="2"/>
        <v>3</v>
      </c>
      <c r="S35" s="1">
        <f t="shared" si="3"/>
        <v>1.0650887573964497E-2</v>
      </c>
    </row>
    <row r="36" spans="1:19">
      <c r="A36">
        <v>34</v>
      </c>
      <c r="B36" t="s">
        <v>25</v>
      </c>
      <c r="C36">
        <v>1528</v>
      </c>
      <c r="D36" t="s">
        <v>62</v>
      </c>
      <c r="E36">
        <v>360.31</v>
      </c>
      <c r="F36">
        <v>289</v>
      </c>
      <c r="G36">
        <v>329</v>
      </c>
      <c r="H36">
        <v>7626</v>
      </c>
      <c r="I36">
        <v>1.1000000000000001</v>
      </c>
      <c r="J36">
        <v>229</v>
      </c>
      <c r="K36">
        <v>47</v>
      </c>
      <c r="L36">
        <v>279</v>
      </c>
      <c r="O36" s="1" t="str">
        <f t="shared" si="0"/>
        <v/>
      </c>
      <c r="P36" s="1">
        <f>ROUND((E36*Tidbruk!$J$1)+(G36*Tidbruk!$J$2),0)</f>
        <v>540</v>
      </c>
      <c r="Q36" s="4">
        <f t="shared" si="1"/>
        <v>9</v>
      </c>
      <c r="R36" s="1">
        <f t="shared" si="2"/>
        <v>2</v>
      </c>
      <c r="S36" s="1">
        <f t="shared" si="3"/>
        <v>5.3254437869822485E-3</v>
      </c>
    </row>
    <row r="37" spans="1:19">
      <c r="A37">
        <v>34</v>
      </c>
      <c r="B37" t="s">
        <v>25</v>
      </c>
      <c r="C37">
        <v>1531</v>
      </c>
      <c r="D37" t="s">
        <v>63</v>
      </c>
      <c r="E37">
        <v>209.67</v>
      </c>
      <c r="F37">
        <v>326</v>
      </c>
      <c r="G37">
        <v>57</v>
      </c>
      <c r="H37">
        <v>9759</v>
      </c>
      <c r="I37">
        <v>3.68</v>
      </c>
      <c r="J37">
        <v>14</v>
      </c>
      <c r="K37">
        <v>21</v>
      </c>
      <c r="L37">
        <v>321</v>
      </c>
      <c r="O37" s="1" t="str">
        <f t="shared" si="0"/>
        <v/>
      </c>
      <c r="P37" s="1">
        <f>ROUND((E37*Tidbruk!$J$1)+(G37*Tidbruk!$J$2),0)</f>
        <v>227</v>
      </c>
      <c r="Q37" s="4">
        <f t="shared" si="1"/>
        <v>4</v>
      </c>
      <c r="R37" s="1">
        <f t="shared" si="2"/>
        <v>1</v>
      </c>
      <c r="S37" s="1">
        <f t="shared" si="3"/>
        <v>2.3668639053254438E-3</v>
      </c>
    </row>
    <row r="38" spans="1:19">
      <c r="A38">
        <v>55</v>
      </c>
      <c r="B38" t="s">
        <v>44</v>
      </c>
      <c r="C38">
        <v>1532</v>
      </c>
      <c r="D38" t="s">
        <v>64</v>
      </c>
      <c r="E38">
        <v>147.93</v>
      </c>
      <c r="F38">
        <v>342</v>
      </c>
      <c r="G38">
        <v>40</v>
      </c>
      <c r="H38">
        <v>8773</v>
      </c>
      <c r="I38">
        <v>3.7</v>
      </c>
      <c r="J38">
        <v>13</v>
      </c>
      <c r="K38">
        <v>17</v>
      </c>
      <c r="L38">
        <v>326</v>
      </c>
      <c r="O38" s="1" t="str">
        <f t="shared" si="0"/>
        <v/>
      </c>
      <c r="P38" s="1">
        <f>ROUND((E38*Tidbruk!$J$1)+(G38*Tidbruk!$J$2),0)</f>
        <v>160</v>
      </c>
      <c r="Q38" s="4">
        <f t="shared" si="1"/>
        <v>3</v>
      </c>
      <c r="R38" s="1">
        <f t="shared" si="2"/>
        <v>1</v>
      </c>
      <c r="S38" s="1">
        <f t="shared" si="3"/>
        <v>1.7751479289940828E-3</v>
      </c>
    </row>
    <row r="39" spans="1:19">
      <c r="A39">
        <v>50</v>
      </c>
      <c r="B39" t="s">
        <v>21</v>
      </c>
      <c r="C39">
        <v>1535</v>
      </c>
      <c r="D39" t="s">
        <v>65</v>
      </c>
      <c r="E39">
        <v>683.11</v>
      </c>
      <c r="F39">
        <v>208</v>
      </c>
      <c r="G39">
        <v>399</v>
      </c>
      <c r="H39">
        <v>7242</v>
      </c>
      <c r="I39">
        <v>1.71</v>
      </c>
      <c r="J39">
        <v>150</v>
      </c>
      <c r="K39">
        <v>94</v>
      </c>
      <c r="L39">
        <v>221</v>
      </c>
      <c r="O39" s="1" t="str">
        <f t="shared" si="0"/>
        <v/>
      </c>
      <c r="P39" s="1">
        <f>ROUND((E39*Tidbruk!$J$1)+(G39*Tidbruk!$J$2),0)</f>
        <v>877</v>
      </c>
      <c r="Q39" s="4">
        <f t="shared" si="1"/>
        <v>15</v>
      </c>
      <c r="R39" s="1">
        <f t="shared" si="2"/>
        <v>2</v>
      </c>
      <c r="S39" s="1">
        <f t="shared" si="3"/>
        <v>8.8757396449704144E-3</v>
      </c>
    </row>
    <row r="40" spans="1:19">
      <c r="A40">
        <v>46</v>
      </c>
      <c r="B40" t="s">
        <v>32</v>
      </c>
      <c r="C40">
        <v>1539</v>
      </c>
      <c r="D40" t="s">
        <v>66</v>
      </c>
      <c r="E40">
        <v>1270.43</v>
      </c>
      <c r="F40">
        <v>94</v>
      </c>
      <c r="G40">
        <v>1390</v>
      </c>
      <c r="H40">
        <v>7196</v>
      </c>
      <c r="I40">
        <v>0.91</v>
      </c>
      <c r="J40">
        <v>261</v>
      </c>
      <c r="K40">
        <v>177</v>
      </c>
      <c r="L40">
        <v>153</v>
      </c>
      <c r="O40" s="1" t="str">
        <f t="shared" si="0"/>
        <v/>
      </c>
      <c r="P40" s="1">
        <f>ROUND((E40*Tidbruk!$J$1)+(G40*Tidbruk!$J$2),0)</f>
        <v>2053</v>
      </c>
      <c r="Q40" s="4">
        <f t="shared" si="1"/>
        <v>35</v>
      </c>
      <c r="R40" s="1">
        <f t="shared" si="2"/>
        <v>5</v>
      </c>
      <c r="S40" s="1">
        <f t="shared" si="3"/>
        <v>2.0710059171597635E-2</v>
      </c>
    </row>
    <row r="41" spans="1:19">
      <c r="A41">
        <v>34</v>
      </c>
      <c r="B41" t="s">
        <v>25</v>
      </c>
      <c r="C41">
        <v>1547</v>
      </c>
      <c r="D41" t="s">
        <v>67</v>
      </c>
      <c r="E41">
        <v>105.9</v>
      </c>
      <c r="F41">
        <v>347</v>
      </c>
      <c r="G41">
        <v>61</v>
      </c>
      <c r="H41">
        <v>3759</v>
      </c>
      <c r="I41">
        <v>1.74</v>
      </c>
      <c r="J41">
        <v>148</v>
      </c>
      <c r="K41">
        <v>28</v>
      </c>
      <c r="L41">
        <v>309</v>
      </c>
      <c r="O41" s="1" t="str">
        <f t="shared" si="0"/>
        <v/>
      </c>
      <c r="P41" s="1">
        <f>ROUND((E41*Tidbruk!$J$1)+(G41*Tidbruk!$J$2),0)</f>
        <v>135</v>
      </c>
      <c r="Q41" s="4">
        <f t="shared" si="1"/>
        <v>3</v>
      </c>
      <c r="R41" s="1">
        <f t="shared" si="2"/>
        <v>1</v>
      </c>
      <c r="S41" s="1">
        <f t="shared" si="3"/>
        <v>1.7751479289940828E-3</v>
      </c>
    </row>
    <row r="42" spans="1:19">
      <c r="A42">
        <v>34</v>
      </c>
      <c r="B42" t="s">
        <v>25</v>
      </c>
      <c r="C42">
        <v>1554</v>
      </c>
      <c r="D42" t="s">
        <v>68</v>
      </c>
      <c r="E42">
        <v>397.05</v>
      </c>
      <c r="F42">
        <v>283</v>
      </c>
      <c r="G42">
        <v>173</v>
      </c>
      <c r="H42">
        <v>5992</v>
      </c>
      <c r="I42">
        <v>2.2999999999999998</v>
      </c>
      <c r="J42">
        <v>95</v>
      </c>
      <c r="K42">
        <v>66</v>
      </c>
      <c r="L42">
        <v>255</v>
      </c>
      <c r="O42" s="1" t="str">
        <f t="shared" si="0"/>
        <v/>
      </c>
      <c r="P42" s="1">
        <f>ROUND((E42*Tidbruk!$J$1)+(G42*Tidbruk!$J$2),0)</f>
        <v>471</v>
      </c>
      <c r="Q42" s="4">
        <f t="shared" si="1"/>
        <v>8</v>
      </c>
      <c r="R42" s="1">
        <f t="shared" si="2"/>
        <v>2</v>
      </c>
      <c r="S42" s="1">
        <f t="shared" si="3"/>
        <v>4.7337278106508876E-3</v>
      </c>
    </row>
    <row r="43" spans="1:19">
      <c r="A43">
        <v>33</v>
      </c>
      <c r="B43" t="s">
        <v>23</v>
      </c>
      <c r="C43">
        <v>1557</v>
      </c>
      <c r="D43" t="s">
        <v>69</v>
      </c>
      <c r="E43">
        <v>534.79999999999995</v>
      </c>
      <c r="F43">
        <v>244</v>
      </c>
      <c r="G43">
        <v>371</v>
      </c>
      <c r="H43">
        <v>2708</v>
      </c>
      <c r="I43">
        <v>1.44</v>
      </c>
      <c r="J43">
        <v>184</v>
      </c>
      <c r="K43">
        <v>197</v>
      </c>
      <c r="L43">
        <v>142</v>
      </c>
      <c r="O43" s="1" t="str">
        <f t="shared" si="0"/>
        <v/>
      </c>
      <c r="P43" s="1">
        <f>ROUND((E43*Tidbruk!$J$1)+(G43*Tidbruk!$J$2),0)</f>
        <v>725</v>
      </c>
      <c r="Q43" s="4">
        <f t="shared" si="1"/>
        <v>13</v>
      </c>
      <c r="R43" s="1">
        <f t="shared" si="2"/>
        <v>2</v>
      </c>
      <c r="S43" s="1">
        <f t="shared" si="3"/>
        <v>7.6923076923076927E-3</v>
      </c>
    </row>
    <row r="44" spans="1:19">
      <c r="A44">
        <v>50</v>
      </c>
      <c r="B44" t="s">
        <v>21</v>
      </c>
      <c r="C44">
        <v>1560</v>
      </c>
      <c r="D44" t="s">
        <v>70</v>
      </c>
      <c r="E44">
        <v>668.07</v>
      </c>
      <c r="F44">
        <v>215</v>
      </c>
      <c r="G44">
        <v>322</v>
      </c>
      <c r="H44">
        <v>3077</v>
      </c>
      <c r="I44">
        <v>2.0699999999999998</v>
      </c>
      <c r="J44">
        <v>117</v>
      </c>
      <c r="K44">
        <v>217</v>
      </c>
      <c r="L44">
        <v>135</v>
      </c>
      <c r="O44" s="1" t="str">
        <f t="shared" si="0"/>
        <v/>
      </c>
      <c r="P44" s="1">
        <f>ROUND((E44*Tidbruk!$J$1)+(G44*Tidbruk!$J$2),0)</f>
        <v>813</v>
      </c>
      <c r="Q44" s="4">
        <f t="shared" si="1"/>
        <v>14</v>
      </c>
      <c r="R44" s="1">
        <f t="shared" si="2"/>
        <v>2</v>
      </c>
      <c r="S44" s="1">
        <f t="shared" si="3"/>
        <v>8.2840236686390536E-3</v>
      </c>
    </row>
    <row r="45" spans="1:19">
      <c r="A45">
        <v>34</v>
      </c>
      <c r="B45" t="s">
        <v>25</v>
      </c>
      <c r="C45">
        <v>1563</v>
      </c>
      <c r="D45" t="s">
        <v>71</v>
      </c>
      <c r="E45">
        <v>1160.1300000000001</v>
      </c>
      <c r="F45">
        <v>110</v>
      </c>
      <c r="G45">
        <v>1648</v>
      </c>
      <c r="H45">
        <v>7193</v>
      </c>
      <c r="I45">
        <v>0.7</v>
      </c>
      <c r="J45">
        <v>297</v>
      </c>
      <c r="K45">
        <v>161</v>
      </c>
      <c r="L45">
        <v>159</v>
      </c>
      <c r="O45" s="1" t="str">
        <f t="shared" si="0"/>
        <v/>
      </c>
      <c r="P45" s="1">
        <f>ROUND((E45*Tidbruk!$J$1)+(G45*Tidbruk!$J$2),0)</f>
        <v>2121</v>
      </c>
      <c r="Q45" s="4">
        <f t="shared" si="1"/>
        <v>36</v>
      </c>
      <c r="R45" s="1">
        <f t="shared" si="2"/>
        <v>5</v>
      </c>
      <c r="S45" s="1">
        <f t="shared" si="3"/>
        <v>2.1301775147928994E-2</v>
      </c>
    </row>
    <row r="46" spans="1:19">
      <c r="A46">
        <v>34</v>
      </c>
      <c r="B46" t="s">
        <v>25</v>
      </c>
      <c r="C46">
        <v>1566</v>
      </c>
      <c r="D46" t="s">
        <v>72</v>
      </c>
      <c r="E46">
        <v>1257.8499999999999</v>
      </c>
      <c r="F46">
        <v>98</v>
      </c>
      <c r="G46">
        <v>1315</v>
      </c>
      <c r="H46">
        <v>5950</v>
      </c>
      <c r="I46">
        <v>0.96</v>
      </c>
      <c r="J46">
        <v>257</v>
      </c>
      <c r="K46">
        <v>211</v>
      </c>
      <c r="L46">
        <v>137</v>
      </c>
      <c r="O46" s="1" t="str">
        <f t="shared" si="0"/>
        <v/>
      </c>
      <c r="P46" s="1">
        <f>ROUND((E46*Tidbruk!$J$1)+(G46*Tidbruk!$J$2),0)</f>
        <v>1993</v>
      </c>
      <c r="Q46" s="4">
        <f t="shared" si="1"/>
        <v>34</v>
      </c>
      <c r="R46" s="1">
        <f t="shared" si="2"/>
        <v>5</v>
      </c>
      <c r="S46" s="1">
        <f t="shared" si="3"/>
        <v>2.0118343195266272E-2</v>
      </c>
    </row>
    <row r="47" spans="1:19">
      <c r="A47">
        <v>18</v>
      </c>
      <c r="B47" t="s">
        <v>73</v>
      </c>
      <c r="C47">
        <v>1573</v>
      </c>
      <c r="D47" t="s">
        <v>74</v>
      </c>
      <c r="E47">
        <v>194.02</v>
      </c>
      <c r="F47">
        <v>335</v>
      </c>
      <c r="G47">
        <v>261</v>
      </c>
      <c r="H47">
        <v>2168</v>
      </c>
      <c r="I47">
        <v>0.74</v>
      </c>
      <c r="J47">
        <v>293</v>
      </c>
      <c r="K47">
        <v>89</v>
      </c>
      <c r="L47">
        <v>230</v>
      </c>
      <c r="O47" s="1" t="str">
        <f t="shared" si="0"/>
        <v/>
      </c>
      <c r="P47" s="1">
        <f>ROUND((E47*Tidbruk!$J$1)+(G47*Tidbruk!$J$2),0)</f>
        <v>345</v>
      </c>
      <c r="Q47" s="4">
        <f t="shared" si="1"/>
        <v>6</v>
      </c>
      <c r="R47" s="1">
        <f t="shared" si="2"/>
        <v>1</v>
      </c>
      <c r="S47" s="1">
        <f t="shared" si="3"/>
        <v>3.5502958579881655E-3</v>
      </c>
    </row>
    <row r="48" spans="1:19">
      <c r="A48">
        <v>34</v>
      </c>
      <c r="B48" t="s">
        <v>25</v>
      </c>
      <c r="C48">
        <v>1576</v>
      </c>
      <c r="D48" t="s">
        <v>75</v>
      </c>
      <c r="E48">
        <v>647.42999999999995</v>
      </c>
      <c r="F48">
        <v>222</v>
      </c>
      <c r="G48">
        <v>622</v>
      </c>
      <c r="H48">
        <v>3394</v>
      </c>
      <c r="I48">
        <v>1.04</v>
      </c>
      <c r="J48">
        <v>240</v>
      </c>
      <c r="K48">
        <v>191</v>
      </c>
      <c r="L48">
        <v>145</v>
      </c>
      <c r="O48" s="1" t="str">
        <f t="shared" si="0"/>
        <v/>
      </c>
      <c r="P48" s="1">
        <f>ROUND((E48*Tidbruk!$J$1)+(G48*Tidbruk!$J$2),0)</f>
        <v>990</v>
      </c>
      <c r="Q48" s="4">
        <f t="shared" si="1"/>
        <v>17</v>
      </c>
      <c r="R48" s="1">
        <f t="shared" si="2"/>
        <v>3</v>
      </c>
      <c r="S48" s="1">
        <f t="shared" si="3"/>
        <v>1.0059171597633136E-2</v>
      </c>
    </row>
    <row r="49" spans="1:19">
      <c r="A49">
        <v>34</v>
      </c>
      <c r="B49" t="s">
        <v>25</v>
      </c>
      <c r="C49">
        <v>1577</v>
      </c>
      <c r="D49" t="s">
        <v>76</v>
      </c>
      <c r="E49">
        <v>860.16</v>
      </c>
      <c r="F49">
        <v>177</v>
      </c>
      <c r="G49">
        <v>834</v>
      </c>
      <c r="H49">
        <v>11131</v>
      </c>
      <c r="I49">
        <v>1.03</v>
      </c>
      <c r="J49">
        <v>244</v>
      </c>
      <c r="K49">
        <v>77</v>
      </c>
      <c r="L49">
        <v>238</v>
      </c>
      <c r="O49" s="1" t="str">
        <f t="shared" si="0"/>
        <v/>
      </c>
      <c r="P49" s="1">
        <f>ROUND((E49*Tidbruk!$J$1)+(G49*Tidbruk!$J$2),0)</f>
        <v>1320</v>
      </c>
      <c r="Q49" s="4">
        <f t="shared" si="1"/>
        <v>22</v>
      </c>
      <c r="R49" s="1">
        <f t="shared" si="2"/>
        <v>3</v>
      </c>
      <c r="S49" s="1">
        <f t="shared" si="3"/>
        <v>1.301775147928994E-2</v>
      </c>
    </row>
    <row r="50" spans="1:19">
      <c r="A50">
        <v>34</v>
      </c>
      <c r="B50" t="s">
        <v>25</v>
      </c>
      <c r="C50">
        <v>1578</v>
      </c>
      <c r="D50" t="s">
        <v>77</v>
      </c>
      <c r="E50">
        <v>834.03</v>
      </c>
      <c r="F50">
        <v>182</v>
      </c>
      <c r="G50">
        <v>1143</v>
      </c>
      <c r="H50">
        <v>2506</v>
      </c>
      <c r="I50">
        <v>0.73</v>
      </c>
      <c r="J50">
        <v>295</v>
      </c>
      <c r="K50">
        <v>333</v>
      </c>
      <c r="L50">
        <v>94</v>
      </c>
      <c r="O50" s="1" t="str">
        <f t="shared" si="0"/>
        <v/>
      </c>
      <c r="P50" s="1">
        <f>ROUND((E50*Tidbruk!$J$1)+(G50*Tidbruk!$J$2),0)</f>
        <v>1498</v>
      </c>
      <c r="Q50" s="4">
        <f t="shared" si="1"/>
        <v>25</v>
      </c>
      <c r="R50" s="1">
        <f t="shared" si="2"/>
        <v>4</v>
      </c>
      <c r="S50" s="1">
        <f t="shared" si="3"/>
        <v>1.4792899408284023E-2</v>
      </c>
    </row>
    <row r="51" spans="1:19">
      <c r="A51">
        <v>34</v>
      </c>
      <c r="B51" t="s">
        <v>25</v>
      </c>
      <c r="C51">
        <v>1579</v>
      </c>
      <c r="D51" t="s">
        <v>78</v>
      </c>
      <c r="E51">
        <v>1033.17</v>
      </c>
      <c r="F51">
        <v>139</v>
      </c>
      <c r="G51">
        <v>508</v>
      </c>
      <c r="H51">
        <v>13460</v>
      </c>
      <c r="I51">
        <v>2.0299999999999998</v>
      </c>
      <c r="J51">
        <v>121</v>
      </c>
      <c r="K51">
        <v>77</v>
      </c>
      <c r="L51">
        <v>238</v>
      </c>
      <c r="O51" s="1" t="str">
        <f t="shared" si="0"/>
        <v/>
      </c>
      <c r="P51" s="1">
        <f>ROUND((E51*Tidbruk!$J$1)+(G51*Tidbruk!$J$2),0)</f>
        <v>1264</v>
      </c>
      <c r="Q51" s="4">
        <f t="shared" si="1"/>
        <v>22</v>
      </c>
      <c r="R51" s="1">
        <f t="shared" si="2"/>
        <v>3</v>
      </c>
      <c r="S51" s="1">
        <f t="shared" si="3"/>
        <v>1.301775147928994E-2</v>
      </c>
    </row>
    <row r="52" spans="1:19">
      <c r="A52">
        <v>3</v>
      </c>
      <c r="B52" t="s">
        <v>20</v>
      </c>
      <c r="C52">
        <v>1580</v>
      </c>
      <c r="D52" t="s">
        <v>79</v>
      </c>
      <c r="E52">
        <v>461.3</v>
      </c>
      <c r="F52">
        <v>268</v>
      </c>
      <c r="G52">
        <v>254</v>
      </c>
      <c r="H52">
        <v>9409</v>
      </c>
      <c r="I52">
        <v>1.82</v>
      </c>
      <c r="J52">
        <v>143</v>
      </c>
      <c r="K52">
        <v>49</v>
      </c>
      <c r="L52">
        <v>274</v>
      </c>
      <c r="O52" s="1" t="str">
        <f t="shared" si="0"/>
        <v/>
      </c>
      <c r="P52" s="1">
        <f>ROUND((E52*Tidbruk!$J$1)+(G52*Tidbruk!$J$2),0)</f>
        <v>582</v>
      </c>
      <c r="Q52" s="4">
        <f t="shared" si="1"/>
        <v>10</v>
      </c>
      <c r="R52" s="1">
        <f t="shared" si="2"/>
        <v>2</v>
      </c>
      <c r="S52" s="1">
        <f t="shared" si="3"/>
        <v>5.9171597633136093E-3</v>
      </c>
    </row>
    <row r="53" spans="1:19">
      <c r="A53">
        <v>33</v>
      </c>
      <c r="B53" t="s">
        <v>23</v>
      </c>
      <c r="C53">
        <v>1804</v>
      </c>
      <c r="D53" t="s">
        <v>80</v>
      </c>
      <c r="E53">
        <v>1338.85</v>
      </c>
      <c r="F53">
        <v>86</v>
      </c>
      <c r="G53">
        <v>1311</v>
      </c>
      <c r="H53">
        <v>53725</v>
      </c>
      <c r="I53">
        <v>1.02</v>
      </c>
      <c r="J53">
        <v>247</v>
      </c>
      <c r="K53">
        <v>25</v>
      </c>
      <c r="L53">
        <v>314</v>
      </c>
      <c r="O53" s="1" t="str">
        <f t="shared" si="0"/>
        <v/>
      </c>
      <c r="P53" s="1">
        <f>ROUND((E53*Tidbruk!$J$1)+(G53*Tidbruk!$J$2),0)</f>
        <v>2063</v>
      </c>
      <c r="Q53" s="4">
        <f t="shared" si="1"/>
        <v>35</v>
      </c>
      <c r="R53" s="1">
        <f t="shared" si="2"/>
        <v>5</v>
      </c>
      <c r="S53" s="1">
        <f t="shared" si="3"/>
        <v>2.0710059171597635E-2</v>
      </c>
    </row>
    <row r="54" spans="1:19">
      <c r="A54">
        <v>46</v>
      </c>
      <c r="B54" t="s">
        <v>32</v>
      </c>
      <c r="C54">
        <v>1806</v>
      </c>
      <c r="D54" t="s">
        <v>81</v>
      </c>
      <c r="E54">
        <v>1404.93</v>
      </c>
      <c r="F54">
        <v>74</v>
      </c>
      <c r="G54">
        <v>3195</v>
      </c>
      <c r="H54">
        <v>21591</v>
      </c>
      <c r="I54">
        <v>0.44</v>
      </c>
      <c r="J54">
        <v>335</v>
      </c>
      <c r="K54">
        <v>65</v>
      </c>
      <c r="L54">
        <v>259</v>
      </c>
      <c r="O54" s="1" t="str">
        <f t="shared" si="0"/>
        <v/>
      </c>
      <c r="P54" s="1">
        <f>ROUND((E54*Tidbruk!$J$1)+(G54*Tidbruk!$J$2),0)</f>
        <v>3349</v>
      </c>
      <c r="Q54" s="4">
        <f t="shared" si="1"/>
        <v>56</v>
      </c>
      <c r="R54" s="1">
        <f t="shared" si="2"/>
        <v>8</v>
      </c>
      <c r="S54" s="1">
        <f t="shared" si="3"/>
        <v>3.3136094674556214E-2</v>
      </c>
    </row>
    <row r="55" spans="1:19">
      <c r="A55">
        <v>11</v>
      </c>
      <c r="B55" t="s">
        <v>82</v>
      </c>
      <c r="C55">
        <v>1811</v>
      </c>
      <c r="D55" t="s">
        <v>83</v>
      </c>
      <c r="E55">
        <v>391.82</v>
      </c>
      <c r="F55">
        <v>285</v>
      </c>
      <c r="G55">
        <v>1192</v>
      </c>
      <c r="H55">
        <v>1374</v>
      </c>
      <c r="I55">
        <v>0.33</v>
      </c>
      <c r="J55">
        <v>350</v>
      </c>
      <c r="K55">
        <v>285</v>
      </c>
      <c r="L55">
        <v>105</v>
      </c>
      <c r="O55" s="1" t="str">
        <f t="shared" si="0"/>
        <v/>
      </c>
      <c r="P55" s="1">
        <f>ROUND((E55*Tidbruk!$J$1)+(G55*Tidbruk!$J$2),0)</f>
        <v>1130</v>
      </c>
      <c r="Q55" s="4">
        <f t="shared" si="1"/>
        <v>19</v>
      </c>
      <c r="R55" s="1">
        <f t="shared" si="2"/>
        <v>3</v>
      </c>
      <c r="S55" s="1">
        <f t="shared" si="3"/>
        <v>1.1242603550295858E-2</v>
      </c>
    </row>
    <row r="56" spans="1:19">
      <c r="A56">
        <v>32</v>
      </c>
      <c r="B56" t="s">
        <v>84</v>
      </c>
      <c r="C56">
        <v>1812</v>
      </c>
      <c r="D56" t="s">
        <v>85</v>
      </c>
      <c r="E56">
        <v>255.87</v>
      </c>
      <c r="F56">
        <v>311</v>
      </c>
      <c r="G56">
        <v>192</v>
      </c>
      <c r="H56">
        <v>1979</v>
      </c>
      <c r="I56">
        <v>1.33</v>
      </c>
      <c r="J56">
        <v>201</v>
      </c>
      <c r="K56">
        <v>129</v>
      </c>
      <c r="L56">
        <v>183</v>
      </c>
      <c r="O56" s="1" t="str">
        <f t="shared" si="0"/>
        <v/>
      </c>
      <c r="P56" s="1">
        <f>ROUND((E56*Tidbruk!$J$1)+(G56*Tidbruk!$J$2),0)</f>
        <v>356</v>
      </c>
      <c r="Q56" s="4">
        <f t="shared" si="1"/>
        <v>6</v>
      </c>
      <c r="R56" s="1">
        <f t="shared" si="2"/>
        <v>1</v>
      </c>
      <c r="S56" s="1">
        <f t="shared" si="3"/>
        <v>3.5502958579881655E-3</v>
      </c>
    </row>
    <row r="57" spans="1:19">
      <c r="A57">
        <v>34</v>
      </c>
      <c r="B57" t="s">
        <v>25</v>
      </c>
      <c r="C57">
        <v>1813</v>
      </c>
      <c r="D57" t="s">
        <v>86</v>
      </c>
      <c r="E57">
        <v>678.07</v>
      </c>
      <c r="F57">
        <v>210</v>
      </c>
      <c r="G57">
        <v>999</v>
      </c>
      <c r="H57">
        <v>7838</v>
      </c>
      <c r="I57">
        <v>0.68</v>
      </c>
      <c r="J57">
        <v>300</v>
      </c>
      <c r="K57">
        <v>87</v>
      </c>
      <c r="L57">
        <v>232</v>
      </c>
      <c r="O57" s="1" t="str">
        <f t="shared" si="0"/>
        <v/>
      </c>
      <c r="P57" s="1">
        <f>ROUND((E57*Tidbruk!$J$1)+(G57*Tidbruk!$J$2),0)</f>
        <v>1263</v>
      </c>
      <c r="Q57" s="4">
        <f t="shared" si="1"/>
        <v>22</v>
      </c>
      <c r="R57" s="1">
        <f t="shared" si="2"/>
        <v>3</v>
      </c>
      <c r="S57" s="1">
        <f t="shared" si="3"/>
        <v>1.301775147928994E-2</v>
      </c>
    </row>
    <row r="58" spans="1:19">
      <c r="A58">
        <v>50</v>
      </c>
      <c r="B58" t="s">
        <v>21</v>
      </c>
      <c r="C58">
        <v>1815</v>
      </c>
      <c r="D58" t="s">
        <v>87</v>
      </c>
      <c r="E58">
        <v>132.77000000000001</v>
      </c>
      <c r="F58">
        <v>345</v>
      </c>
      <c r="G58">
        <v>163</v>
      </c>
      <c r="H58">
        <v>1207</v>
      </c>
      <c r="I58">
        <v>0.81</v>
      </c>
      <c r="J58">
        <v>283</v>
      </c>
      <c r="K58">
        <v>110</v>
      </c>
      <c r="L58">
        <v>203</v>
      </c>
      <c r="O58" s="1" t="str">
        <f t="shared" si="0"/>
        <v/>
      </c>
      <c r="P58" s="1">
        <f>ROUND((E58*Tidbruk!$J$1)+(G58*Tidbruk!$J$2),0)</f>
        <v>226</v>
      </c>
      <c r="Q58" s="4">
        <f t="shared" si="1"/>
        <v>4</v>
      </c>
      <c r="R58" s="1">
        <f t="shared" si="2"/>
        <v>1</v>
      </c>
      <c r="S58" s="1">
        <f t="shared" si="3"/>
        <v>2.3668639053254438E-3</v>
      </c>
    </row>
    <row r="59" spans="1:19">
      <c r="A59">
        <v>34</v>
      </c>
      <c r="B59" t="s">
        <v>25</v>
      </c>
      <c r="C59">
        <v>1816</v>
      </c>
      <c r="D59" t="s">
        <v>88</v>
      </c>
      <c r="E59">
        <v>207.35</v>
      </c>
      <c r="F59">
        <v>327</v>
      </c>
      <c r="G59">
        <v>516</v>
      </c>
      <c r="H59">
        <v>470</v>
      </c>
      <c r="I59">
        <v>0.4</v>
      </c>
      <c r="J59">
        <v>342</v>
      </c>
      <c r="K59">
        <v>441</v>
      </c>
      <c r="L59">
        <v>62</v>
      </c>
      <c r="O59" s="1" t="str">
        <f t="shared" si="0"/>
        <v/>
      </c>
      <c r="P59" s="1">
        <f>ROUND((E59*Tidbruk!$J$1)+(G59*Tidbruk!$J$2),0)</f>
        <v>523</v>
      </c>
      <c r="Q59" s="4">
        <f t="shared" si="1"/>
        <v>9</v>
      </c>
      <c r="R59" s="1">
        <f t="shared" si="2"/>
        <v>2</v>
      </c>
      <c r="S59" s="1">
        <f t="shared" si="3"/>
        <v>5.3254437869822485E-3</v>
      </c>
    </row>
    <row r="60" spans="1:19">
      <c r="A60">
        <v>50</v>
      </c>
      <c r="B60" t="s">
        <v>21</v>
      </c>
      <c r="C60">
        <v>1818</v>
      </c>
      <c r="D60" t="s">
        <v>56</v>
      </c>
      <c r="E60">
        <v>88.32</v>
      </c>
      <c r="F60">
        <v>350</v>
      </c>
      <c r="G60">
        <v>64</v>
      </c>
      <c r="H60">
        <v>1888</v>
      </c>
      <c r="I60">
        <v>1.38</v>
      </c>
      <c r="J60">
        <v>194</v>
      </c>
      <c r="K60">
        <v>47</v>
      </c>
      <c r="L60">
        <v>279</v>
      </c>
      <c r="M60">
        <v>366</v>
      </c>
      <c r="N60">
        <v>1491</v>
      </c>
      <c r="O60" s="1">
        <f t="shared" si="0"/>
        <v>1588.2</v>
      </c>
      <c r="P60" s="1">
        <f>ROUND((E60*Tidbruk!$J$1)+(G60*Tidbruk!$J$2),0)</f>
        <v>121</v>
      </c>
      <c r="Q60" s="4">
        <f t="shared" si="1"/>
        <v>3</v>
      </c>
      <c r="R60" s="1">
        <f t="shared" si="2"/>
        <v>1</v>
      </c>
      <c r="S60" s="1">
        <f t="shared" si="3"/>
        <v>1.7751479289940828E-3</v>
      </c>
    </row>
    <row r="61" spans="1:19">
      <c r="A61">
        <v>50</v>
      </c>
      <c r="B61" t="s">
        <v>21</v>
      </c>
      <c r="C61">
        <v>1820</v>
      </c>
      <c r="D61" t="s">
        <v>89</v>
      </c>
      <c r="E61">
        <v>315.32</v>
      </c>
      <c r="F61">
        <v>297</v>
      </c>
      <c r="G61">
        <v>187</v>
      </c>
      <c r="H61">
        <v>7465</v>
      </c>
      <c r="I61">
        <v>1.69</v>
      </c>
      <c r="J61">
        <v>156</v>
      </c>
      <c r="K61">
        <v>42</v>
      </c>
      <c r="L61">
        <v>289</v>
      </c>
      <c r="O61" s="1" t="str">
        <f t="shared" si="0"/>
        <v/>
      </c>
      <c r="P61" s="1">
        <f>ROUND((E61*Tidbruk!$J$1)+(G61*Tidbruk!$J$2),0)</f>
        <v>407</v>
      </c>
      <c r="Q61" s="4">
        <f t="shared" si="1"/>
        <v>7</v>
      </c>
      <c r="R61" s="1">
        <f t="shared" si="2"/>
        <v>1</v>
      </c>
      <c r="S61" s="1">
        <f t="shared" si="3"/>
        <v>4.1420118343195268E-3</v>
      </c>
    </row>
    <row r="62" spans="1:19">
      <c r="A62">
        <v>31</v>
      </c>
      <c r="B62" t="s">
        <v>90</v>
      </c>
      <c r="C62">
        <v>1822</v>
      </c>
      <c r="D62" t="s">
        <v>91</v>
      </c>
      <c r="E62">
        <v>297.77999999999997</v>
      </c>
      <c r="F62">
        <v>300</v>
      </c>
      <c r="G62">
        <v>451</v>
      </c>
      <c r="H62">
        <v>2354</v>
      </c>
      <c r="I62">
        <v>0.66</v>
      </c>
      <c r="J62">
        <v>304</v>
      </c>
      <c r="K62">
        <v>126</v>
      </c>
      <c r="L62">
        <v>188</v>
      </c>
      <c r="O62" s="1" t="str">
        <f t="shared" si="0"/>
        <v/>
      </c>
      <c r="P62" s="1">
        <f>ROUND((E62*Tidbruk!$J$1)+(G62*Tidbruk!$J$2),0)</f>
        <v>563</v>
      </c>
      <c r="Q62" s="4">
        <f t="shared" si="1"/>
        <v>10</v>
      </c>
      <c r="R62" s="1">
        <f t="shared" si="2"/>
        <v>2</v>
      </c>
      <c r="S62" s="1">
        <f t="shared" si="3"/>
        <v>5.9171597633136093E-3</v>
      </c>
    </row>
    <row r="63" spans="1:19">
      <c r="A63">
        <v>40</v>
      </c>
      <c r="B63" t="s">
        <v>39</v>
      </c>
      <c r="C63">
        <v>1824</v>
      </c>
      <c r="D63" t="s">
        <v>92</v>
      </c>
      <c r="E63">
        <v>1183.48</v>
      </c>
      <c r="F63">
        <v>105</v>
      </c>
      <c r="G63">
        <v>1838</v>
      </c>
      <c r="H63">
        <v>13475</v>
      </c>
      <c r="I63">
        <v>0.64</v>
      </c>
      <c r="J63">
        <v>308</v>
      </c>
      <c r="K63">
        <v>88</v>
      </c>
      <c r="L63">
        <v>231</v>
      </c>
      <c r="O63" s="1" t="str">
        <f t="shared" si="0"/>
        <v/>
      </c>
      <c r="P63" s="1">
        <f>ROUND((E63*Tidbruk!$J$1)+(G63*Tidbruk!$J$2),0)</f>
        <v>2266</v>
      </c>
      <c r="Q63" s="4">
        <f t="shared" si="1"/>
        <v>38</v>
      </c>
      <c r="R63" s="1">
        <f t="shared" si="2"/>
        <v>6</v>
      </c>
      <c r="S63" s="1">
        <f t="shared" si="3"/>
        <v>2.2485207100591716E-2</v>
      </c>
    </row>
    <row r="64" spans="1:19">
      <c r="A64">
        <v>56</v>
      </c>
      <c r="B64" t="s">
        <v>19</v>
      </c>
      <c r="C64">
        <v>1825</v>
      </c>
      <c r="D64" t="s">
        <v>93</v>
      </c>
      <c r="E64">
        <v>666.52</v>
      </c>
      <c r="F64">
        <v>216</v>
      </c>
      <c r="G64">
        <v>1881</v>
      </c>
      <c r="H64">
        <v>1430</v>
      </c>
      <c r="I64">
        <v>0.35</v>
      </c>
      <c r="J64">
        <v>345</v>
      </c>
      <c r="K64">
        <v>466</v>
      </c>
      <c r="L64">
        <v>57</v>
      </c>
      <c r="O64" s="1" t="str">
        <f t="shared" si="0"/>
        <v/>
      </c>
      <c r="P64" s="1">
        <f>ROUND((E64*Tidbruk!$J$1)+(G64*Tidbruk!$J$2),0)</f>
        <v>1827</v>
      </c>
      <c r="Q64" s="4">
        <f t="shared" si="1"/>
        <v>31</v>
      </c>
      <c r="R64" s="1">
        <f t="shared" si="2"/>
        <v>5</v>
      </c>
      <c r="S64" s="1">
        <f t="shared" si="3"/>
        <v>1.8343195266272188E-2</v>
      </c>
    </row>
    <row r="65" spans="1:19">
      <c r="A65">
        <v>15</v>
      </c>
      <c r="B65" t="s">
        <v>94</v>
      </c>
      <c r="C65">
        <v>1826</v>
      </c>
      <c r="D65" t="s">
        <v>95</v>
      </c>
      <c r="E65">
        <v>854.25</v>
      </c>
      <c r="F65">
        <v>179</v>
      </c>
      <c r="G65">
        <v>2411</v>
      </c>
      <c r="H65">
        <v>1274</v>
      </c>
      <c r="I65">
        <v>0.35</v>
      </c>
      <c r="J65">
        <v>345</v>
      </c>
      <c r="K65">
        <v>671</v>
      </c>
      <c r="L65">
        <v>25</v>
      </c>
      <c r="O65" s="1" t="str">
        <f t="shared" si="0"/>
        <v/>
      </c>
      <c r="P65" s="1">
        <f>ROUND((E65*Tidbruk!$J$1)+(G65*Tidbruk!$J$2),0)</f>
        <v>2341</v>
      </c>
      <c r="Q65" s="4">
        <f t="shared" si="1"/>
        <v>40</v>
      </c>
      <c r="R65" s="1">
        <f t="shared" si="2"/>
        <v>6</v>
      </c>
      <c r="S65" s="1">
        <f t="shared" si="3"/>
        <v>2.3668639053254437E-2</v>
      </c>
    </row>
    <row r="66" spans="1:19">
      <c r="A66">
        <v>55</v>
      </c>
      <c r="B66" t="s">
        <v>44</v>
      </c>
      <c r="C66">
        <v>1827</v>
      </c>
      <c r="D66" t="s">
        <v>96</v>
      </c>
      <c r="E66">
        <v>175.89</v>
      </c>
      <c r="F66">
        <v>340</v>
      </c>
      <c r="G66">
        <v>186</v>
      </c>
      <c r="H66">
        <v>1447</v>
      </c>
      <c r="I66">
        <v>0.95</v>
      </c>
      <c r="J66">
        <v>260</v>
      </c>
      <c r="K66">
        <v>122</v>
      </c>
      <c r="L66">
        <v>192</v>
      </c>
      <c r="O66" s="1" t="str">
        <f t="shared" ref="O66:O129" si="4">IF(N66&gt;0,ROUND((N66-E66)/E66*100,1),"")</f>
        <v/>
      </c>
      <c r="P66" s="1">
        <f>ROUND((E66*Tidbruk!$J$1)+(G66*Tidbruk!$J$2),0)</f>
        <v>280</v>
      </c>
      <c r="Q66" s="4">
        <f t="shared" si="1"/>
        <v>5</v>
      </c>
      <c r="R66" s="1">
        <f t="shared" si="2"/>
        <v>1</v>
      </c>
      <c r="S66" s="1">
        <f t="shared" si="3"/>
        <v>2.9585798816568047E-3</v>
      </c>
    </row>
    <row r="67" spans="1:19">
      <c r="A67">
        <v>34</v>
      </c>
      <c r="B67" t="s">
        <v>25</v>
      </c>
      <c r="C67">
        <v>1828</v>
      </c>
      <c r="D67" t="s">
        <v>97</v>
      </c>
      <c r="E67">
        <v>207.19</v>
      </c>
      <c r="F67">
        <v>329</v>
      </c>
      <c r="G67">
        <v>181</v>
      </c>
      <c r="H67">
        <v>1770</v>
      </c>
      <c r="I67">
        <v>1.1399999999999999</v>
      </c>
      <c r="J67">
        <v>225</v>
      </c>
      <c r="K67">
        <v>117</v>
      </c>
      <c r="L67">
        <v>198</v>
      </c>
      <c r="O67" s="1" t="str">
        <f t="shared" si="4"/>
        <v/>
      </c>
      <c r="P67" s="1">
        <f>ROUND((E67*Tidbruk!$J$1)+(G67*Tidbruk!$J$2),0)</f>
        <v>305</v>
      </c>
      <c r="Q67" s="4">
        <f t="shared" ref="Q67:Q130" si="5">ROUNDUP(P67/60,0)</f>
        <v>6</v>
      </c>
      <c r="R67" s="1">
        <f t="shared" ref="R67:R130" si="6">ROUNDUP(Q67/7.5,0)</f>
        <v>1</v>
      </c>
      <c r="S67" s="1">
        <f t="shared" ref="S67:S130" si="7">Q67/1690</f>
        <v>3.5502958579881655E-3</v>
      </c>
    </row>
    <row r="68" spans="1:19">
      <c r="A68">
        <v>46</v>
      </c>
      <c r="B68" t="s">
        <v>32</v>
      </c>
      <c r="C68">
        <v>1832</v>
      </c>
      <c r="D68" t="s">
        <v>98</v>
      </c>
      <c r="E68">
        <v>869.1</v>
      </c>
      <c r="F68">
        <v>175</v>
      </c>
      <c r="G68">
        <v>1430</v>
      </c>
      <c r="H68">
        <v>4485</v>
      </c>
      <c r="I68">
        <v>0.61</v>
      </c>
      <c r="J68">
        <v>313</v>
      </c>
      <c r="K68">
        <v>194</v>
      </c>
      <c r="L68">
        <v>143</v>
      </c>
      <c r="O68" s="1" t="str">
        <f t="shared" si="4"/>
        <v/>
      </c>
      <c r="P68" s="1">
        <f>ROUND((E68*Tidbruk!$J$1)+(G68*Tidbruk!$J$2),0)</f>
        <v>1716</v>
      </c>
      <c r="Q68" s="4">
        <f t="shared" si="5"/>
        <v>29</v>
      </c>
      <c r="R68" s="1">
        <f t="shared" si="6"/>
        <v>4</v>
      </c>
      <c r="S68" s="1">
        <f t="shared" si="7"/>
        <v>1.7159763313609466E-2</v>
      </c>
    </row>
    <row r="69" spans="1:19">
      <c r="A69">
        <v>40</v>
      </c>
      <c r="B69" t="s">
        <v>39</v>
      </c>
      <c r="C69">
        <v>1833</v>
      </c>
      <c r="D69" t="s">
        <v>99</v>
      </c>
      <c r="E69">
        <v>1813.92</v>
      </c>
      <c r="F69">
        <v>46</v>
      </c>
      <c r="G69">
        <v>4203</v>
      </c>
      <c r="H69">
        <v>25927</v>
      </c>
      <c r="I69">
        <v>0.43</v>
      </c>
      <c r="J69">
        <v>339</v>
      </c>
      <c r="K69">
        <v>70</v>
      </c>
      <c r="L69">
        <v>249</v>
      </c>
      <c r="O69" s="1" t="str">
        <f t="shared" si="4"/>
        <v/>
      </c>
      <c r="P69" s="1">
        <f>ROUND((E69*Tidbruk!$J$1)+(G69*Tidbruk!$J$2),0)</f>
        <v>4375</v>
      </c>
      <c r="Q69" s="4">
        <f t="shared" si="5"/>
        <v>73</v>
      </c>
      <c r="R69" s="1">
        <f t="shared" si="6"/>
        <v>10</v>
      </c>
      <c r="S69" s="1">
        <f t="shared" si="7"/>
        <v>4.319526627218935E-2</v>
      </c>
    </row>
    <row r="70" spans="1:19">
      <c r="A70">
        <v>50</v>
      </c>
      <c r="B70" t="s">
        <v>21</v>
      </c>
      <c r="C70">
        <v>1834</v>
      </c>
      <c r="D70" t="s">
        <v>100</v>
      </c>
      <c r="E70">
        <v>197.01</v>
      </c>
      <c r="F70">
        <v>333</v>
      </c>
      <c r="G70">
        <v>258</v>
      </c>
      <c r="H70">
        <v>1948</v>
      </c>
      <c r="I70">
        <v>0.76</v>
      </c>
      <c r="J70">
        <v>290</v>
      </c>
      <c r="K70">
        <v>101</v>
      </c>
      <c r="L70">
        <v>213</v>
      </c>
      <c r="O70" s="1" t="str">
        <f t="shared" si="4"/>
        <v/>
      </c>
      <c r="P70" s="1">
        <f>ROUND((E70*Tidbruk!$J$1)+(G70*Tidbruk!$J$2),0)</f>
        <v>346</v>
      </c>
      <c r="Q70" s="4">
        <f t="shared" si="5"/>
        <v>6</v>
      </c>
      <c r="R70" s="1">
        <f t="shared" si="6"/>
        <v>1</v>
      </c>
      <c r="S70" s="1">
        <f t="shared" si="7"/>
        <v>3.5502958579881655E-3</v>
      </c>
    </row>
    <row r="71" spans="1:19">
      <c r="A71">
        <v>46</v>
      </c>
      <c r="B71" t="s">
        <v>32</v>
      </c>
      <c r="C71">
        <v>1835</v>
      </c>
      <c r="D71" t="s">
        <v>101</v>
      </c>
      <c r="E71">
        <v>11.12</v>
      </c>
      <c r="F71">
        <v>356</v>
      </c>
      <c r="G71">
        <v>16</v>
      </c>
      <c r="H71">
        <v>463</v>
      </c>
      <c r="I71">
        <v>0.7</v>
      </c>
      <c r="J71">
        <v>297</v>
      </c>
      <c r="K71">
        <v>24</v>
      </c>
      <c r="L71">
        <v>316</v>
      </c>
      <c r="O71" s="1" t="str">
        <f t="shared" si="4"/>
        <v/>
      </c>
      <c r="P71" s="1">
        <f>ROUND((E71*Tidbruk!$J$1)+(G71*Tidbruk!$J$2),0)</f>
        <v>20</v>
      </c>
      <c r="Q71" s="4">
        <f t="shared" si="5"/>
        <v>1</v>
      </c>
      <c r="R71" s="1">
        <f t="shared" si="6"/>
        <v>1</v>
      </c>
      <c r="S71" s="1">
        <f t="shared" si="7"/>
        <v>5.9171597633136095E-4</v>
      </c>
    </row>
    <row r="72" spans="1:19">
      <c r="A72">
        <v>50</v>
      </c>
      <c r="B72" t="s">
        <v>21</v>
      </c>
      <c r="C72">
        <v>1836</v>
      </c>
      <c r="D72" t="s">
        <v>102</v>
      </c>
      <c r="E72">
        <v>232.38</v>
      </c>
      <c r="F72">
        <v>316</v>
      </c>
      <c r="G72">
        <v>686</v>
      </c>
      <c r="H72">
        <v>1160</v>
      </c>
      <c r="I72">
        <v>0.34</v>
      </c>
      <c r="J72">
        <v>348</v>
      </c>
      <c r="K72">
        <v>200</v>
      </c>
      <c r="L72">
        <v>141</v>
      </c>
      <c r="O72" s="1" t="str">
        <f t="shared" si="4"/>
        <v/>
      </c>
      <c r="P72" s="1">
        <f>ROUND((E72*Tidbruk!$J$1)+(G72*Tidbruk!$J$2),0)</f>
        <v>657</v>
      </c>
      <c r="Q72" s="4">
        <f t="shared" si="5"/>
        <v>11</v>
      </c>
      <c r="R72" s="1">
        <f t="shared" si="6"/>
        <v>2</v>
      </c>
      <c r="S72" s="1">
        <f t="shared" si="7"/>
        <v>6.5088757396449702E-3</v>
      </c>
    </row>
    <row r="73" spans="1:19">
      <c r="A73">
        <v>34</v>
      </c>
      <c r="B73" t="s">
        <v>25</v>
      </c>
      <c r="C73">
        <v>1837</v>
      </c>
      <c r="D73" t="s">
        <v>103</v>
      </c>
      <c r="E73">
        <v>584.95000000000005</v>
      </c>
      <c r="F73">
        <v>237</v>
      </c>
      <c r="G73">
        <v>798</v>
      </c>
      <c r="H73">
        <v>6104</v>
      </c>
      <c r="I73">
        <v>0.73</v>
      </c>
      <c r="J73">
        <v>295</v>
      </c>
      <c r="K73">
        <v>96</v>
      </c>
      <c r="L73">
        <v>218</v>
      </c>
      <c r="O73" s="1" t="str">
        <f t="shared" si="4"/>
        <v/>
      </c>
      <c r="P73" s="1">
        <f>ROUND((E73*Tidbruk!$J$1)+(G73*Tidbruk!$J$2),0)</f>
        <v>1048</v>
      </c>
      <c r="Q73" s="4">
        <f t="shared" si="5"/>
        <v>18</v>
      </c>
      <c r="R73" s="1">
        <f t="shared" si="6"/>
        <v>3</v>
      </c>
      <c r="S73" s="1">
        <f t="shared" si="7"/>
        <v>1.0650887573964497E-2</v>
      </c>
    </row>
    <row r="74" spans="1:19">
      <c r="A74">
        <v>11</v>
      </c>
      <c r="B74" t="s">
        <v>82</v>
      </c>
      <c r="C74">
        <v>1838</v>
      </c>
      <c r="D74" t="s">
        <v>104</v>
      </c>
      <c r="E74">
        <v>363.8</v>
      </c>
      <c r="F74">
        <v>288</v>
      </c>
      <c r="G74">
        <v>622</v>
      </c>
      <c r="H74">
        <v>2003</v>
      </c>
      <c r="I74">
        <v>0.57999999999999996</v>
      </c>
      <c r="J74">
        <v>316</v>
      </c>
      <c r="K74">
        <v>182</v>
      </c>
      <c r="L74">
        <v>150</v>
      </c>
      <c r="O74" s="1" t="str">
        <f t="shared" si="4"/>
        <v/>
      </c>
      <c r="P74" s="1">
        <f>ROUND((E74*Tidbruk!$J$1)+(G74*Tidbruk!$J$2),0)</f>
        <v>734</v>
      </c>
      <c r="Q74" s="4">
        <f t="shared" si="5"/>
        <v>13</v>
      </c>
      <c r="R74" s="1">
        <f t="shared" si="6"/>
        <v>2</v>
      </c>
      <c r="S74" s="1">
        <f t="shared" si="7"/>
        <v>7.6923076923076927E-3</v>
      </c>
    </row>
    <row r="75" spans="1:19">
      <c r="A75">
        <v>18</v>
      </c>
      <c r="B75" t="s">
        <v>73</v>
      </c>
      <c r="C75">
        <v>1839</v>
      </c>
      <c r="D75" t="s">
        <v>105</v>
      </c>
      <c r="E75">
        <v>590.5</v>
      </c>
      <c r="F75">
        <v>235</v>
      </c>
      <c r="G75">
        <v>1178</v>
      </c>
      <c r="H75">
        <v>1059</v>
      </c>
      <c r="I75">
        <v>0.5</v>
      </c>
      <c r="J75">
        <v>329</v>
      </c>
      <c r="K75">
        <v>558</v>
      </c>
      <c r="L75">
        <v>38</v>
      </c>
      <c r="O75" s="1" t="str">
        <f t="shared" si="4"/>
        <v/>
      </c>
      <c r="P75" s="1">
        <f>ROUND((E75*Tidbruk!$J$1)+(G75*Tidbruk!$J$2),0)</f>
        <v>1300</v>
      </c>
      <c r="Q75" s="4">
        <f t="shared" si="5"/>
        <v>22</v>
      </c>
      <c r="R75" s="1">
        <f t="shared" si="6"/>
        <v>3</v>
      </c>
      <c r="S75" s="1">
        <f t="shared" si="7"/>
        <v>1.301775147928994E-2</v>
      </c>
    </row>
    <row r="76" spans="1:19">
      <c r="A76">
        <v>40</v>
      </c>
      <c r="B76" t="s">
        <v>39</v>
      </c>
      <c r="C76">
        <v>1840</v>
      </c>
      <c r="D76" t="s">
        <v>106</v>
      </c>
      <c r="E76">
        <v>1138.68</v>
      </c>
      <c r="F76">
        <v>116</v>
      </c>
      <c r="G76">
        <v>2084</v>
      </c>
      <c r="H76">
        <v>4822</v>
      </c>
      <c r="I76">
        <v>0.55000000000000004</v>
      </c>
      <c r="J76">
        <v>320</v>
      </c>
      <c r="K76">
        <v>236</v>
      </c>
      <c r="L76">
        <v>127</v>
      </c>
      <c r="O76" s="1" t="str">
        <f t="shared" si="4"/>
        <v/>
      </c>
      <c r="P76" s="1">
        <f>ROUND((E76*Tidbruk!$J$1)+(G76*Tidbruk!$J$2),0)</f>
        <v>2386</v>
      </c>
      <c r="Q76" s="4">
        <f t="shared" si="5"/>
        <v>40</v>
      </c>
      <c r="R76" s="1">
        <f t="shared" si="6"/>
        <v>6</v>
      </c>
      <c r="S76" s="1">
        <f t="shared" si="7"/>
        <v>2.3668639053254437E-2</v>
      </c>
    </row>
    <row r="77" spans="1:19">
      <c r="A77">
        <v>42</v>
      </c>
      <c r="B77" t="s">
        <v>28</v>
      </c>
      <c r="C77">
        <v>1841</v>
      </c>
      <c r="D77" t="s">
        <v>107</v>
      </c>
      <c r="E77">
        <v>745.84</v>
      </c>
      <c r="F77">
        <v>195</v>
      </c>
      <c r="G77">
        <v>1107</v>
      </c>
      <c r="H77">
        <v>9805</v>
      </c>
      <c r="I77">
        <v>0.67</v>
      </c>
      <c r="J77">
        <v>303</v>
      </c>
      <c r="K77">
        <v>76</v>
      </c>
      <c r="L77">
        <v>242</v>
      </c>
      <c r="O77" s="1" t="str">
        <f t="shared" si="4"/>
        <v/>
      </c>
      <c r="P77" s="1">
        <f>ROUND((E77*Tidbruk!$J$1)+(G77*Tidbruk!$J$2),0)</f>
        <v>1395</v>
      </c>
      <c r="Q77" s="4">
        <f t="shared" si="5"/>
        <v>24</v>
      </c>
      <c r="R77" s="1">
        <f t="shared" si="6"/>
        <v>4</v>
      </c>
      <c r="S77" s="1">
        <f t="shared" si="7"/>
        <v>1.4201183431952662E-2</v>
      </c>
    </row>
    <row r="78" spans="1:19">
      <c r="A78">
        <v>40</v>
      </c>
      <c r="B78" t="s">
        <v>39</v>
      </c>
      <c r="C78">
        <v>1845</v>
      </c>
      <c r="D78" t="s">
        <v>108</v>
      </c>
      <c r="E78">
        <v>510.73</v>
      </c>
      <c r="F78">
        <v>249</v>
      </c>
      <c r="G78">
        <v>1471</v>
      </c>
      <c r="H78">
        <v>1851</v>
      </c>
      <c r="I78">
        <v>0.35</v>
      </c>
      <c r="J78">
        <v>345</v>
      </c>
      <c r="K78">
        <v>276</v>
      </c>
      <c r="L78">
        <v>111</v>
      </c>
      <c r="O78" s="1" t="str">
        <f t="shared" si="4"/>
        <v/>
      </c>
      <c r="P78" s="1">
        <f>ROUND((E78*Tidbruk!$J$1)+(G78*Tidbruk!$J$2),0)</f>
        <v>1419</v>
      </c>
      <c r="Q78" s="4">
        <f t="shared" si="5"/>
        <v>24</v>
      </c>
      <c r="R78" s="1">
        <f t="shared" si="6"/>
        <v>4</v>
      </c>
      <c r="S78" s="1">
        <f t="shared" si="7"/>
        <v>1.4201183431952662E-2</v>
      </c>
    </row>
    <row r="79" spans="1:19">
      <c r="A79">
        <v>46</v>
      </c>
      <c r="B79" t="s">
        <v>32</v>
      </c>
      <c r="C79">
        <v>1848</v>
      </c>
      <c r="D79" t="s">
        <v>109</v>
      </c>
      <c r="E79">
        <v>651.73</v>
      </c>
      <c r="F79">
        <v>221</v>
      </c>
      <c r="G79">
        <v>964</v>
      </c>
      <c r="H79">
        <v>2662</v>
      </c>
      <c r="I79">
        <v>0.68</v>
      </c>
      <c r="J79">
        <v>300</v>
      </c>
      <c r="K79">
        <v>245</v>
      </c>
      <c r="L79">
        <v>120</v>
      </c>
      <c r="O79" s="1" t="str">
        <f t="shared" si="4"/>
        <v/>
      </c>
      <c r="P79" s="1">
        <f>ROUND((E79*Tidbruk!$J$1)+(G79*Tidbruk!$J$2),0)</f>
        <v>1216</v>
      </c>
      <c r="Q79" s="4">
        <f t="shared" si="5"/>
        <v>21</v>
      </c>
      <c r="R79" s="1">
        <f t="shared" si="6"/>
        <v>3</v>
      </c>
      <c r="S79" s="1">
        <f t="shared" si="7"/>
        <v>1.242603550295858E-2</v>
      </c>
    </row>
    <row r="80" spans="1:19">
      <c r="A80">
        <v>31</v>
      </c>
      <c r="B80" t="s">
        <v>90</v>
      </c>
      <c r="C80">
        <v>1851</v>
      </c>
      <c r="D80" t="s">
        <v>110</v>
      </c>
      <c r="E80">
        <v>283.95</v>
      </c>
      <c r="F80">
        <v>303</v>
      </c>
      <c r="G80">
        <v>508</v>
      </c>
      <c r="H80">
        <v>2067</v>
      </c>
      <c r="I80">
        <v>0.56000000000000005</v>
      </c>
      <c r="J80">
        <v>318</v>
      </c>
      <c r="K80">
        <v>137</v>
      </c>
      <c r="L80">
        <v>175</v>
      </c>
      <c r="O80" s="1" t="str">
        <f t="shared" si="4"/>
        <v/>
      </c>
      <c r="P80" s="1">
        <f>ROUND((E80*Tidbruk!$J$1)+(G80*Tidbruk!$J$2),0)</f>
        <v>587</v>
      </c>
      <c r="Q80" s="4">
        <f t="shared" si="5"/>
        <v>10</v>
      </c>
      <c r="R80" s="1">
        <f t="shared" si="6"/>
        <v>2</v>
      </c>
      <c r="S80" s="1">
        <f t="shared" si="7"/>
        <v>5.9171597633136093E-3</v>
      </c>
    </row>
    <row r="81" spans="1:19">
      <c r="A81">
        <v>34</v>
      </c>
      <c r="B81" t="s">
        <v>25</v>
      </c>
      <c r="C81">
        <v>1853</v>
      </c>
      <c r="D81" t="s">
        <v>111</v>
      </c>
      <c r="E81">
        <v>377.36</v>
      </c>
      <c r="F81">
        <v>287</v>
      </c>
      <c r="G81">
        <v>241</v>
      </c>
      <c r="H81">
        <v>1362</v>
      </c>
      <c r="I81">
        <v>1.57</v>
      </c>
      <c r="J81">
        <v>171</v>
      </c>
      <c r="K81">
        <v>277</v>
      </c>
      <c r="L81">
        <v>110</v>
      </c>
      <c r="O81" s="1" t="str">
        <f t="shared" si="4"/>
        <v/>
      </c>
      <c r="P81" s="1">
        <f>ROUND((E81*Tidbruk!$J$1)+(G81*Tidbruk!$J$2),0)</f>
        <v>498</v>
      </c>
      <c r="Q81" s="4">
        <f t="shared" si="5"/>
        <v>9</v>
      </c>
      <c r="R81" s="1">
        <f t="shared" si="6"/>
        <v>2</v>
      </c>
      <c r="S81" s="1">
        <f t="shared" si="7"/>
        <v>5.3254437869822485E-3</v>
      </c>
    </row>
    <row r="82" spans="1:19">
      <c r="A82">
        <v>33</v>
      </c>
      <c r="B82" t="s">
        <v>23</v>
      </c>
      <c r="C82">
        <v>1856</v>
      </c>
      <c r="D82" t="s">
        <v>112</v>
      </c>
      <c r="E82">
        <v>34.4</v>
      </c>
      <c r="F82">
        <v>353</v>
      </c>
      <c r="G82">
        <v>10</v>
      </c>
      <c r="H82">
        <v>458</v>
      </c>
      <c r="I82">
        <v>3.44</v>
      </c>
      <c r="J82">
        <v>25</v>
      </c>
      <c r="K82">
        <v>75</v>
      </c>
      <c r="L82">
        <v>243</v>
      </c>
      <c r="O82" s="1" t="str">
        <f t="shared" si="4"/>
        <v/>
      </c>
      <c r="P82" s="1">
        <f>ROUND((E82*Tidbruk!$J$1)+(G82*Tidbruk!$J$2),0)</f>
        <v>38</v>
      </c>
      <c r="Q82" s="4">
        <f t="shared" si="5"/>
        <v>1</v>
      </c>
      <c r="R82" s="1">
        <f t="shared" si="6"/>
        <v>1</v>
      </c>
      <c r="S82" s="1">
        <f t="shared" si="7"/>
        <v>5.9171597633136095E-4</v>
      </c>
    </row>
    <row r="83" spans="1:19">
      <c r="A83">
        <v>33</v>
      </c>
      <c r="B83" t="s">
        <v>23</v>
      </c>
      <c r="C83">
        <v>1857</v>
      </c>
      <c r="D83" t="s">
        <v>113</v>
      </c>
      <c r="E83">
        <v>32.369999999999997</v>
      </c>
      <c r="F83">
        <v>354</v>
      </c>
      <c r="G83">
        <v>19</v>
      </c>
      <c r="H83">
        <v>677</v>
      </c>
      <c r="I83">
        <v>1.7</v>
      </c>
      <c r="J83">
        <v>153</v>
      </c>
      <c r="K83">
        <v>48</v>
      </c>
      <c r="L83">
        <v>276</v>
      </c>
      <c r="O83" s="1" t="str">
        <f t="shared" si="4"/>
        <v/>
      </c>
      <c r="P83" s="1">
        <f>ROUND((E83*Tidbruk!$J$1)+(G83*Tidbruk!$J$2),0)</f>
        <v>42</v>
      </c>
      <c r="Q83" s="4">
        <f t="shared" si="5"/>
        <v>1</v>
      </c>
      <c r="R83" s="1">
        <f t="shared" si="6"/>
        <v>1</v>
      </c>
      <c r="S83" s="1">
        <f t="shared" si="7"/>
        <v>5.9171597633136095E-4</v>
      </c>
    </row>
    <row r="84" spans="1:19">
      <c r="A84">
        <v>42</v>
      </c>
      <c r="B84" t="s">
        <v>28</v>
      </c>
      <c r="C84">
        <v>1859</v>
      </c>
      <c r="D84" t="s">
        <v>114</v>
      </c>
      <c r="E84">
        <v>226.52</v>
      </c>
      <c r="F84">
        <v>319</v>
      </c>
      <c r="G84">
        <v>169</v>
      </c>
      <c r="H84">
        <v>1266</v>
      </c>
      <c r="I84">
        <v>1.34</v>
      </c>
      <c r="J84">
        <v>198</v>
      </c>
      <c r="K84">
        <v>179</v>
      </c>
      <c r="L84">
        <v>152</v>
      </c>
      <c r="O84" s="1" t="str">
        <f t="shared" si="4"/>
        <v/>
      </c>
      <c r="P84" s="1">
        <f>ROUND((E84*Tidbruk!$J$1)+(G84*Tidbruk!$J$2),0)</f>
        <v>315</v>
      </c>
      <c r="Q84" s="4">
        <f t="shared" si="5"/>
        <v>6</v>
      </c>
      <c r="R84" s="1">
        <f t="shared" si="6"/>
        <v>1</v>
      </c>
      <c r="S84" s="1">
        <f t="shared" si="7"/>
        <v>3.5502958579881655E-3</v>
      </c>
    </row>
    <row r="85" spans="1:19">
      <c r="A85">
        <v>42</v>
      </c>
      <c r="B85" t="s">
        <v>28</v>
      </c>
      <c r="C85">
        <v>1860</v>
      </c>
      <c r="D85" t="s">
        <v>115</v>
      </c>
      <c r="E85">
        <v>646.46</v>
      </c>
      <c r="F85">
        <v>223</v>
      </c>
      <c r="G85">
        <v>407</v>
      </c>
      <c r="H85">
        <v>11582</v>
      </c>
      <c r="I85">
        <v>1.59</v>
      </c>
      <c r="J85">
        <v>166</v>
      </c>
      <c r="K85">
        <v>56</v>
      </c>
      <c r="L85">
        <v>267</v>
      </c>
      <c r="O85" s="1" t="str">
        <f t="shared" si="4"/>
        <v/>
      </c>
      <c r="P85" s="1">
        <f>ROUND((E85*Tidbruk!$J$1)+(G85*Tidbruk!$J$2),0)</f>
        <v>849</v>
      </c>
      <c r="Q85" s="4">
        <f t="shared" si="5"/>
        <v>15</v>
      </c>
      <c r="R85" s="1">
        <f t="shared" si="6"/>
        <v>2</v>
      </c>
      <c r="S85" s="1">
        <f t="shared" si="7"/>
        <v>8.8757396449704144E-3</v>
      </c>
    </row>
    <row r="86" spans="1:19">
      <c r="A86">
        <v>34</v>
      </c>
      <c r="B86" t="s">
        <v>25</v>
      </c>
      <c r="C86">
        <v>1865</v>
      </c>
      <c r="D86" t="s">
        <v>116</v>
      </c>
      <c r="E86">
        <v>477.14</v>
      </c>
      <c r="F86">
        <v>262</v>
      </c>
      <c r="G86">
        <v>460</v>
      </c>
      <c r="H86">
        <v>9871</v>
      </c>
      <c r="I86">
        <v>1.04</v>
      </c>
      <c r="J86">
        <v>240</v>
      </c>
      <c r="K86">
        <v>48</v>
      </c>
      <c r="L86">
        <v>276</v>
      </c>
      <c r="O86" s="1" t="str">
        <f t="shared" si="4"/>
        <v/>
      </c>
      <c r="P86" s="1">
        <f>ROUND((E86*Tidbruk!$J$1)+(G86*Tidbruk!$J$2),0)</f>
        <v>731</v>
      </c>
      <c r="Q86" s="4">
        <f t="shared" si="5"/>
        <v>13</v>
      </c>
      <c r="R86" s="1">
        <f t="shared" si="6"/>
        <v>2</v>
      </c>
      <c r="S86" s="1">
        <f t="shared" si="7"/>
        <v>7.6923076923076927E-3</v>
      </c>
    </row>
    <row r="87" spans="1:19">
      <c r="A87">
        <v>18</v>
      </c>
      <c r="B87" t="s">
        <v>73</v>
      </c>
      <c r="C87">
        <v>1866</v>
      </c>
      <c r="D87" t="s">
        <v>117</v>
      </c>
      <c r="E87">
        <v>694.67</v>
      </c>
      <c r="F87">
        <v>204</v>
      </c>
      <c r="G87">
        <v>551</v>
      </c>
      <c r="H87">
        <v>8400</v>
      </c>
      <c r="I87">
        <v>1.26</v>
      </c>
      <c r="J87">
        <v>210</v>
      </c>
      <c r="K87">
        <v>83</v>
      </c>
      <c r="L87">
        <v>236</v>
      </c>
      <c r="O87" s="1" t="str">
        <f t="shared" si="4"/>
        <v/>
      </c>
      <c r="P87" s="1">
        <f>ROUND((E87*Tidbruk!$J$1)+(G87*Tidbruk!$J$2),0)</f>
        <v>986</v>
      </c>
      <c r="Q87" s="4">
        <f t="shared" si="5"/>
        <v>17</v>
      </c>
      <c r="R87" s="1">
        <f t="shared" si="6"/>
        <v>3</v>
      </c>
      <c r="S87" s="1">
        <f t="shared" si="7"/>
        <v>1.0059171597633136E-2</v>
      </c>
    </row>
    <row r="88" spans="1:19">
      <c r="A88">
        <v>40</v>
      </c>
      <c r="B88" t="s">
        <v>39</v>
      </c>
      <c r="C88">
        <v>1867</v>
      </c>
      <c r="D88" t="s">
        <v>118</v>
      </c>
      <c r="E88">
        <v>330.08</v>
      </c>
      <c r="F88">
        <v>293</v>
      </c>
      <c r="G88">
        <v>235</v>
      </c>
      <c r="H88">
        <v>2617</v>
      </c>
      <c r="I88">
        <v>1.4</v>
      </c>
      <c r="J88">
        <v>188</v>
      </c>
      <c r="K88">
        <v>126</v>
      </c>
      <c r="L88">
        <v>188</v>
      </c>
      <c r="O88" s="1" t="str">
        <f t="shared" si="4"/>
        <v/>
      </c>
      <c r="P88" s="1">
        <f>ROUND((E88*Tidbruk!$J$1)+(G88*Tidbruk!$J$2),0)</f>
        <v>451</v>
      </c>
      <c r="Q88" s="4">
        <f t="shared" si="5"/>
        <v>8</v>
      </c>
      <c r="R88" s="1">
        <f t="shared" si="6"/>
        <v>2</v>
      </c>
      <c r="S88" s="1">
        <f t="shared" si="7"/>
        <v>4.7337278106508876E-3</v>
      </c>
    </row>
    <row r="89" spans="1:19">
      <c r="A89">
        <v>32</v>
      </c>
      <c r="B89" t="s">
        <v>84</v>
      </c>
      <c r="C89">
        <v>1868</v>
      </c>
      <c r="D89" t="s">
        <v>119</v>
      </c>
      <c r="E89">
        <v>323.61</v>
      </c>
      <c r="F89">
        <v>295</v>
      </c>
      <c r="G89">
        <v>311</v>
      </c>
      <c r="H89">
        <v>4628</v>
      </c>
      <c r="I89">
        <v>1.04</v>
      </c>
      <c r="J89">
        <v>240</v>
      </c>
      <c r="K89">
        <v>70</v>
      </c>
      <c r="L89">
        <v>249</v>
      </c>
      <c r="O89" s="1" t="str">
        <f t="shared" si="4"/>
        <v/>
      </c>
      <c r="P89" s="1">
        <f>ROUND((E89*Tidbruk!$J$1)+(G89*Tidbruk!$J$2),0)</f>
        <v>495</v>
      </c>
      <c r="Q89" s="4">
        <f t="shared" si="5"/>
        <v>9</v>
      </c>
      <c r="R89" s="1">
        <f t="shared" si="6"/>
        <v>2</v>
      </c>
      <c r="S89" s="1">
        <f t="shared" si="7"/>
        <v>5.3254437869822485E-3</v>
      </c>
    </row>
    <row r="90" spans="1:19">
      <c r="A90">
        <v>42</v>
      </c>
      <c r="B90" t="s">
        <v>28</v>
      </c>
      <c r="C90">
        <v>1870</v>
      </c>
      <c r="D90" t="s">
        <v>120</v>
      </c>
      <c r="E90">
        <v>669.36</v>
      </c>
      <c r="F90">
        <v>214</v>
      </c>
      <c r="G90">
        <v>697</v>
      </c>
      <c r="H90">
        <v>10781</v>
      </c>
      <c r="I90">
        <v>0.96</v>
      </c>
      <c r="J90">
        <v>257</v>
      </c>
      <c r="K90">
        <v>62</v>
      </c>
      <c r="L90">
        <v>263</v>
      </c>
      <c r="O90" s="1" t="str">
        <f t="shared" si="4"/>
        <v/>
      </c>
      <c r="P90" s="1">
        <f>ROUND((E90*Tidbruk!$J$1)+(G90*Tidbruk!$J$2),0)</f>
        <v>1059</v>
      </c>
      <c r="Q90" s="4">
        <f t="shared" si="5"/>
        <v>18</v>
      </c>
      <c r="R90" s="1">
        <f t="shared" si="6"/>
        <v>3</v>
      </c>
      <c r="S90" s="1">
        <f t="shared" si="7"/>
        <v>1.0650887573964497E-2</v>
      </c>
    </row>
    <row r="91" spans="1:19">
      <c r="A91">
        <v>39</v>
      </c>
      <c r="B91" t="s">
        <v>60</v>
      </c>
      <c r="C91">
        <v>1871</v>
      </c>
      <c r="D91" t="s">
        <v>121</v>
      </c>
      <c r="E91">
        <v>1034.32</v>
      </c>
      <c r="F91">
        <v>138</v>
      </c>
      <c r="G91">
        <v>617</v>
      </c>
      <c r="H91">
        <v>4542</v>
      </c>
      <c r="I91">
        <v>1.68</v>
      </c>
      <c r="J91">
        <v>158</v>
      </c>
      <c r="K91">
        <v>228</v>
      </c>
      <c r="L91">
        <v>130</v>
      </c>
      <c r="O91" s="1" t="str">
        <f t="shared" si="4"/>
        <v/>
      </c>
      <c r="P91" s="1">
        <f>ROUND((E91*Tidbruk!$J$1)+(G91*Tidbruk!$J$2),0)</f>
        <v>1336</v>
      </c>
      <c r="Q91" s="4">
        <f t="shared" si="5"/>
        <v>23</v>
      </c>
      <c r="R91" s="1">
        <f t="shared" si="6"/>
        <v>4</v>
      </c>
      <c r="S91" s="1">
        <f t="shared" si="7"/>
        <v>1.3609467455621301E-2</v>
      </c>
    </row>
    <row r="92" spans="1:19">
      <c r="A92">
        <v>34</v>
      </c>
      <c r="B92" t="s">
        <v>25</v>
      </c>
      <c r="C92">
        <v>1874</v>
      </c>
      <c r="D92" t="s">
        <v>122</v>
      </c>
      <c r="E92">
        <v>88.58</v>
      </c>
      <c r="F92">
        <v>349</v>
      </c>
      <c r="G92">
        <v>110</v>
      </c>
      <c r="H92">
        <v>969</v>
      </c>
      <c r="I92">
        <v>0.81</v>
      </c>
      <c r="J92">
        <v>283</v>
      </c>
      <c r="K92">
        <v>91</v>
      </c>
      <c r="L92">
        <v>227</v>
      </c>
      <c r="O92" s="1" t="str">
        <f t="shared" si="4"/>
        <v/>
      </c>
      <c r="P92" s="1">
        <f>ROUND((E92*Tidbruk!$J$1)+(G92*Tidbruk!$J$2),0)</f>
        <v>152</v>
      </c>
      <c r="Q92" s="4">
        <f t="shared" si="5"/>
        <v>3</v>
      </c>
      <c r="R92" s="1">
        <f t="shared" si="6"/>
        <v>1</v>
      </c>
      <c r="S92" s="1">
        <f t="shared" si="7"/>
        <v>1.7751479289940828E-3</v>
      </c>
    </row>
    <row r="93" spans="1:19">
      <c r="A93">
        <v>50</v>
      </c>
      <c r="B93" t="s">
        <v>21</v>
      </c>
      <c r="C93">
        <v>1875</v>
      </c>
      <c r="D93" t="s">
        <v>123</v>
      </c>
      <c r="E93">
        <v>784.33</v>
      </c>
      <c r="F93">
        <v>192</v>
      </c>
      <c r="G93">
        <v>1838</v>
      </c>
      <c r="H93">
        <v>2786</v>
      </c>
      <c r="I93">
        <v>0.43</v>
      </c>
      <c r="J93">
        <v>339</v>
      </c>
      <c r="K93">
        <v>282</v>
      </c>
      <c r="L93">
        <v>107</v>
      </c>
      <c r="O93" s="1" t="str">
        <f t="shared" si="4"/>
        <v/>
      </c>
      <c r="P93" s="1">
        <f>ROUND((E93*Tidbruk!$J$1)+(G93*Tidbruk!$J$2),0)</f>
        <v>1905</v>
      </c>
      <c r="Q93" s="4">
        <f t="shared" si="5"/>
        <v>32</v>
      </c>
      <c r="R93" s="1">
        <f t="shared" si="6"/>
        <v>5</v>
      </c>
      <c r="S93" s="1">
        <f t="shared" si="7"/>
        <v>1.8934911242603551E-2</v>
      </c>
    </row>
    <row r="94" spans="1:19">
      <c r="A94">
        <v>34</v>
      </c>
      <c r="B94" t="s">
        <v>25</v>
      </c>
      <c r="C94">
        <v>3101</v>
      </c>
      <c r="D94" t="s">
        <v>124</v>
      </c>
      <c r="E94">
        <v>1358.82</v>
      </c>
      <c r="F94">
        <v>79</v>
      </c>
      <c r="G94">
        <v>595</v>
      </c>
      <c r="H94">
        <v>32038</v>
      </c>
      <c r="I94">
        <v>2.2799999999999998</v>
      </c>
      <c r="J94">
        <v>98</v>
      </c>
      <c r="K94">
        <v>42</v>
      </c>
      <c r="L94">
        <v>289</v>
      </c>
      <c r="O94" s="1" t="str">
        <f t="shared" si="4"/>
        <v/>
      </c>
      <c r="P94" s="1">
        <f>ROUND((E94*Tidbruk!$J$1)+(G94*Tidbruk!$J$2),0)</f>
        <v>1615</v>
      </c>
      <c r="Q94" s="4">
        <f t="shared" si="5"/>
        <v>27</v>
      </c>
      <c r="R94" s="1">
        <f t="shared" si="6"/>
        <v>4</v>
      </c>
      <c r="S94" s="1">
        <f t="shared" si="7"/>
        <v>1.5976331360946745E-2</v>
      </c>
    </row>
    <row r="95" spans="1:19">
      <c r="A95">
        <v>15</v>
      </c>
      <c r="B95" t="s">
        <v>94</v>
      </c>
      <c r="C95">
        <v>3103</v>
      </c>
      <c r="D95" t="s">
        <v>125</v>
      </c>
      <c r="E95">
        <v>462.05</v>
      </c>
      <c r="F95">
        <v>267</v>
      </c>
      <c r="G95">
        <v>128</v>
      </c>
      <c r="H95">
        <v>52646</v>
      </c>
      <c r="I95">
        <v>3.61</v>
      </c>
      <c r="J95">
        <v>18</v>
      </c>
      <c r="K95">
        <v>9</v>
      </c>
      <c r="L95">
        <v>345</v>
      </c>
      <c r="O95" s="1" t="str">
        <f t="shared" si="4"/>
        <v/>
      </c>
      <c r="P95" s="1">
        <f>ROUND((E95*Tidbruk!$J$1)+(G95*Tidbruk!$J$2),0)</f>
        <v>501</v>
      </c>
      <c r="Q95" s="4">
        <f t="shared" si="5"/>
        <v>9</v>
      </c>
      <c r="R95" s="1">
        <f t="shared" si="6"/>
        <v>2</v>
      </c>
      <c r="S95" s="1">
        <f t="shared" si="7"/>
        <v>5.3254437869822485E-3</v>
      </c>
    </row>
    <row r="96" spans="1:19">
      <c r="A96">
        <v>50</v>
      </c>
      <c r="B96" t="s">
        <v>21</v>
      </c>
      <c r="C96">
        <v>3105</v>
      </c>
      <c r="D96" t="s">
        <v>126</v>
      </c>
      <c r="E96">
        <v>1027.46</v>
      </c>
      <c r="F96">
        <v>143</v>
      </c>
      <c r="G96">
        <v>370</v>
      </c>
      <c r="H96">
        <v>60139</v>
      </c>
      <c r="I96">
        <v>2.78</v>
      </c>
      <c r="J96">
        <v>56</v>
      </c>
      <c r="K96">
        <v>17</v>
      </c>
      <c r="L96">
        <v>326</v>
      </c>
      <c r="O96" s="1" t="str">
        <f t="shared" si="4"/>
        <v/>
      </c>
      <c r="P96" s="1">
        <f>ROUND((E96*Tidbruk!$J$1)+(G96*Tidbruk!$J$2),0)</f>
        <v>1169</v>
      </c>
      <c r="Q96" s="4">
        <f t="shared" si="5"/>
        <v>20</v>
      </c>
      <c r="R96" s="1">
        <f t="shared" si="6"/>
        <v>3</v>
      </c>
      <c r="S96" s="1">
        <f t="shared" si="7"/>
        <v>1.1834319526627219E-2</v>
      </c>
    </row>
    <row r="97" spans="1:19">
      <c r="A97">
        <v>34</v>
      </c>
      <c r="B97" t="s">
        <v>25</v>
      </c>
      <c r="C97">
        <v>3107</v>
      </c>
      <c r="D97" t="s">
        <v>127</v>
      </c>
      <c r="E97">
        <v>988.5</v>
      </c>
      <c r="F97">
        <v>148</v>
      </c>
      <c r="G97">
        <v>284</v>
      </c>
      <c r="H97">
        <v>85862</v>
      </c>
      <c r="I97">
        <v>3.48</v>
      </c>
      <c r="J97">
        <v>22</v>
      </c>
      <c r="K97">
        <v>12</v>
      </c>
      <c r="L97">
        <v>339</v>
      </c>
      <c r="O97" s="1" t="str">
        <f t="shared" si="4"/>
        <v/>
      </c>
      <c r="P97" s="1">
        <f>ROUND((E97*Tidbruk!$J$1)+(G97*Tidbruk!$J$2),0)</f>
        <v>1078</v>
      </c>
      <c r="Q97" s="4">
        <f t="shared" si="5"/>
        <v>18</v>
      </c>
      <c r="R97" s="1">
        <f t="shared" si="6"/>
        <v>3</v>
      </c>
      <c r="S97" s="1">
        <f t="shared" si="7"/>
        <v>1.0650887573964497E-2</v>
      </c>
    </row>
    <row r="98" spans="1:19">
      <c r="A98">
        <v>50</v>
      </c>
      <c r="B98" t="s">
        <v>21</v>
      </c>
      <c r="C98">
        <v>3110</v>
      </c>
      <c r="D98" t="s">
        <v>128</v>
      </c>
      <c r="E98">
        <v>258.87</v>
      </c>
      <c r="F98">
        <v>309</v>
      </c>
      <c r="G98">
        <v>90</v>
      </c>
      <c r="H98">
        <v>4777</v>
      </c>
      <c r="I98">
        <v>2.88</v>
      </c>
      <c r="J98">
        <v>49</v>
      </c>
      <c r="K98">
        <v>54</v>
      </c>
      <c r="L98">
        <v>269</v>
      </c>
      <c r="O98" s="1" t="str">
        <f t="shared" si="4"/>
        <v/>
      </c>
      <c r="P98" s="1">
        <f>ROUND((E98*Tidbruk!$J$1)+(G98*Tidbruk!$J$2),0)</f>
        <v>292</v>
      </c>
      <c r="Q98" s="4">
        <f t="shared" si="5"/>
        <v>5</v>
      </c>
      <c r="R98" s="1">
        <f t="shared" si="6"/>
        <v>1</v>
      </c>
      <c r="S98" s="1">
        <f t="shared" si="7"/>
        <v>2.9585798816568047E-3</v>
      </c>
    </row>
    <row r="99" spans="1:19">
      <c r="A99">
        <v>15</v>
      </c>
      <c r="B99" t="s">
        <v>94</v>
      </c>
      <c r="C99">
        <v>3112</v>
      </c>
      <c r="D99" t="s">
        <v>129</v>
      </c>
      <c r="E99">
        <v>202.34</v>
      </c>
      <c r="F99">
        <v>332</v>
      </c>
      <c r="G99">
        <v>105</v>
      </c>
      <c r="H99">
        <v>7850</v>
      </c>
      <c r="I99">
        <v>1.93</v>
      </c>
      <c r="J99">
        <v>133</v>
      </c>
      <c r="K99">
        <v>26</v>
      </c>
      <c r="L99">
        <v>312</v>
      </c>
      <c r="O99" s="1" t="str">
        <f t="shared" si="4"/>
        <v/>
      </c>
      <c r="P99" s="1">
        <f>ROUND((E99*Tidbruk!$J$1)+(G99*Tidbruk!$J$2),0)</f>
        <v>251</v>
      </c>
      <c r="Q99" s="4">
        <f t="shared" si="5"/>
        <v>5</v>
      </c>
      <c r="R99" s="1">
        <f t="shared" si="6"/>
        <v>1</v>
      </c>
      <c r="S99" s="1">
        <f t="shared" si="7"/>
        <v>2.9585798816568047E-3</v>
      </c>
    </row>
    <row r="100" spans="1:19">
      <c r="A100">
        <v>32</v>
      </c>
      <c r="B100" t="s">
        <v>84</v>
      </c>
      <c r="C100">
        <v>3114</v>
      </c>
      <c r="D100" t="s">
        <v>130</v>
      </c>
      <c r="E100">
        <v>614.35</v>
      </c>
      <c r="F100">
        <v>233</v>
      </c>
      <c r="G100">
        <v>239</v>
      </c>
      <c r="H100">
        <v>6162</v>
      </c>
      <c r="I100">
        <v>2.57</v>
      </c>
      <c r="J100">
        <v>74</v>
      </c>
      <c r="K100">
        <v>100</v>
      </c>
      <c r="L100">
        <v>215</v>
      </c>
      <c r="O100" s="1" t="str">
        <f t="shared" si="4"/>
        <v/>
      </c>
      <c r="P100" s="1">
        <f>ROUND((E100*Tidbruk!$J$1)+(G100*Tidbruk!$J$2),0)</f>
        <v>711</v>
      </c>
      <c r="Q100" s="4">
        <f t="shared" si="5"/>
        <v>12</v>
      </c>
      <c r="R100" s="1">
        <f t="shared" si="6"/>
        <v>2</v>
      </c>
      <c r="S100" s="1">
        <f t="shared" si="7"/>
        <v>7.100591715976331E-3</v>
      </c>
    </row>
    <row r="101" spans="1:19">
      <c r="A101">
        <v>46</v>
      </c>
      <c r="B101" t="s">
        <v>32</v>
      </c>
      <c r="C101">
        <v>3116</v>
      </c>
      <c r="D101" t="s">
        <v>131</v>
      </c>
      <c r="E101">
        <v>182.52</v>
      </c>
      <c r="F101">
        <v>339</v>
      </c>
      <c r="G101">
        <v>93</v>
      </c>
      <c r="H101">
        <v>3956</v>
      </c>
      <c r="I101">
        <v>1.96</v>
      </c>
      <c r="J101">
        <v>131</v>
      </c>
      <c r="K101">
        <v>46</v>
      </c>
      <c r="L101">
        <v>281</v>
      </c>
      <c r="O101" s="1" t="str">
        <f t="shared" si="4"/>
        <v/>
      </c>
      <c r="P101" s="1">
        <f>ROUND((E101*Tidbruk!$J$1)+(G101*Tidbruk!$J$2),0)</f>
        <v>225</v>
      </c>
      <c r="Q101" s="4">
        <f t="shared" si="5"/>
        <v>4</v>
      </c>
      <c r="R101" s="1">
        <f t="shared" si="6"/>
        <v>1</v>
      </c>
      <c r="S101" s="1">
        <f t="shared" si="7"/>
        <v>2.3668639053254438E-3</v>
      </c>
    </row>
    <row r="102" spans="1:19">
      <c r="A102">
        <v>11</v>
      </c>
      <c r="B102" t="s">
        <v>82</v>
      </c>
      <c r="C102">
        <v>3118</v>
      </c>
      <c r="D102" t="s">
        <v>132</v>
      </c>
      <c r="E102">
        <v>1616.36</v>
      </c>
      <c r="F102">
        <v>61</v>
      </c>
      <c r="G102">
        <v>755</v>
      </c>
      <c r="H102">
        <v>47449</v>
      </c>
      <c r="I102">
        <v>2.14</v>
      </c>
      <c r="J102">
        <v>113</v>
      </c>
      <c r="K102">
        <v>34</v>
      </c>
      <c r="L102">
        <v>301</v>
      </c>
      <c r="O102" s="1" t="str">
        <f t="shared" si="4"/>
        <v/>
      </c>
      <c r="P102" s="1">
        <f>ROUND((E102*Tidbruk!$J$1)+(G102*Tidbruk!$J$2),0)</f>
        <v>1952</v>
      </c>
      <c r="Q102" s="4">
        <f t="shared" si="5"/>
        <v>33</v>
      </c>
      <c r="R102" s="1">
        <f t="shared" si="6"/>
        <v>5</v>
      </c>
      <c r="S102" s="1">
        <f t="shared" si="7"/>
        <v>1.952662721893491E-2</v>
      </c>
    </row>
    <row r="103" spans="1:19">
      <c r="A103">
        <v>34</v>
      </c>
      <c r="B103" t="s">
        <v>25</v>
      </c>
      <c r="C103">
        <v>3120</v>
      </c>
      <c r="D103" t="s">
        <v>133</v>
      </c>
      <c r="E103">
        <v>608.66999999999996</v>
      </c>
      <c r="F103">
        <v>234</v>
      </c>
      <c r="G103">
        <v>421</v>
      </c>
      <c r="H103">
        <v>8527</v>
      </c>
      <c r="I103">
        <v>1.45</v>
      </c>
      <c r="J103">
        <v>182</v>
      </c>
      <c r="K103">
        <v>71</v>
      </c>
      <c r="L103">
        <v>247</v>
      </c>
      <c r="O103" s="1" t="str">
        <f t="shared" si="4"/>
        <v/>
      </c>
      <c r="P103" s="1">
        <f>ROUND((E103*Tidbruk!$J$1)+(G103*Tidbruk!$J$2),0)</f>
        <v>824</v>
      </c>
      <c r="Q103" s="4">
        <f t="shared" si="5"/>
        <v>14</v>
      </c>
      <c r="R103" s="1">
        <f t="shared" si="6"/>
        <v>2</v>
      </c>
      <c r="S103" s="1">
        <f t="shared" si="7"/>
        <v>8.2840236686390536E-3</v>
      </c>
    </row>
    <row r="104" spans="1:19">
      <c r="A104">
        <v>34</v>
      </c>
      <c r="B104" t="s">
        <v>25</v>
      </c>
      <c r="C104">
        <v>3122</v>
      </c>
      <c r="D104" t="s">
        <v>134</v>
      </c>
      <c r="E104">
        <v>436.44</v>
      </c>
      <c r="F104">
        <v>274</v>
      </c>
      <c r="G104">
        <v>368</v>
      </c>
      <c r="H104">
        <v>3655</v>
      </c>
      <c r="I104">
        <v>1.19</v>
      </c>
      <c r="J104">
        <v>221</v>
      </c>
      <c r="K104">
        <v>119</v>
      </c>
      <c r="L104">
        <v>195</v>
      </c>
      <c r="O104" s="1" t="str">
        <f t="shared" si="4"/>
        <v/>
      </c>
      <c r="P104" s="1">
        <f>ROUND((E104*Tidbruk!$J$1)+(G104*Tidbruk!$J$2),0)</f>
        <v>634</v>
      </c>
      <c r="Q104" s="4">
        <f t="shared" si="5"/>
        <v>11</v>
      </c>
      <c r="R104" s="1">
        <f t="shared" si="6"/>
        <v>2</v>
      </c>
      <c r="S104" s="1">
        <f t="shared" si="7"/>
        <v>6.5088757396449702E-3</v>
      </c>
    </row>
    <row r="105" spans="1:19">
      <c r="A105">
        <v>42</v>
      </c>
      <c r="B105" t="s">
        <v>28</v>
      </c>
      <c r="C105">
        <v>3124</v>
      </c>
      <c r="D105" t="s">
        <v>135</v>
      </c>
      <c r="E105">
        <v>273.62</v>
      </c>
      <c r="F105">
        <v>305</v>
      </c>
      <c r="G105">
        <v>282</v>
      </c>
      <c r="H105">
        <v>1346</v>
      </c>
      <c r="I105">
        <v>0.97</v>
      </c>
      <c r="J105">
        <v>254</v>
      </c>
      <c r="K105">
        <v>203</v>
      </c>
      <c r="L105">
        <v>139</v>
      </c>
      <c r="O105" s="1" t="str">
        <f t="shared" si="4"/>
        <v/>
      </c>
      <c r="P105" s="1">
        <f>ROUND((E105*Tidbruk!$J$1)+(G105*Tidbruk!$J$2),0)</f>
        <v>431</v>
      </c>
      <c r="Q105" s="4">
        <f t="shared" si="5"/>
        <v>8</v>
      </c>
      <c r="R105" s="1">
        <f t="shared" si="6"/>
        <v>2</v>
      </c>
      <c r="S105" s="1">
        <f t="shared" si="7"/>
        <v>4.7337278106508876E-3</v>
      </c>
    </row>
    <row r="106" spans="1:19">
      <c r="A106">
        <v>18</v>
      </c>
      <c r="B106" t="s">
        <v>73</v>
      </c>
      <c r="C106">
        <v>3201</v>
      </c>
      <c r="D106" t="s">
        <v>136</v>
      </c>
      <c r="E106">
        <v>717.84</v>
      </c>
      <c r="F106">
        <v>200</v>
      </c>
      <c r="G106">
        <v>189</v>
      </c>
      <c r="H106">
        <v>132358</v>
      </c>
      <c r="I106">
        <v>3.8</v>
      </c>
      <c r="J106">
        <v>10</v>
      </c>
      <c r="K106">
        <v>5</v>
      </c>
      <c r="L106">
        <v>354</v>
      </c>
      <c r="O106" s="1" t="str">
        <f t="shared" si="4"/>
        <v/>
      </c>
      <c r="P106" s="1">
        <f>ROUND((E106*Tidbruk!$J$1)+(G106*Tidbruk!$J$2),0)</f>
        <v>772</v>
      </c>
      <c r="Q106" s="4">
        <f t="shared" si="5"/>
        <v>13</v>
      </c>
      <c r="R106" s="1">
        <f t="shared" si="6"/>
        <v>2</v>
      </c>
      <c r="S106" s="1">
        <f t="shared" si="7"/>
        <v>7.6923076923076927E-3</v>
      </c>
    </row>
    <row r="107" spans="1:19">
      <c r="A107">
        <v>50</v>
      </c>
      <c r="B107" t="s">
        <v>21</v>
      </c>
      <c r="C107">
        <v>3203</v>
      </c>
      <c r="D107" t="s">
        <v>137</v>
      </c>
      <c r="E107">
        <v>1324.64</v>
      </c>
      <c r="F107">
        <v>88</v>
      </c>
      <c r="G107">
        <v>364</v>
      </c>
      <c r="H107">
        <v>100492</v>
      </c>
      <c r="I107">
        <v>3.64</v>
      </c>
      <c r="J107">
        <v>16</v>
      </c>
      <c r="K107">
        <v>13</v>
      </c>
      <c r="L107">
        <v>335</v>
      </c>
      <c r="O107" s="1" t="str">
        <f t="shared" si="4"/>
        <v/>
      </c>
      <c r="P107" s="1">
        <f>ROUND((E107*Tidbruk!$J$1)+(G107*Tidbruk!$J$2),0)</f>
        <v>1434</v>
      </c>
      <c r="Q107" s="4">
        <f t="shared" si="5"/>
        <v>24</v>
      </c>
      <c r="R107" s="1">
        <f t="shared" si="6"/>
        <v>4</v>
      </c>
      <c r="S107" s="1">
        <f t="shared" si="7"/>
        <v>1.4201183431952662E-2</v>
      </c>
    </row>
    <row r="108" spans="1:19">
      <c r="A108">
        <v>34</v>
      </c>
      <c r="B108" t="s">
        <v>25</v>
      </c>
      <c r="C108">
        <v>3205</v>
      </c>
      <c r="D108" t="s">
        <v>138</v>
      </c>
      <c r="E108">
        <v>1054.8900000000001</v>
      </c>
      <c r="F108">
        <v>133</v>
      </c>
      <c r="G108">
        <v>410</v>
      </c>
      <c r="H108">
        <v>95762</v>
      </c>
      <c r="I108">
        <v>2.57</v>
      </c>
      <c r="J108">
        <v>74</v>
      </c>
      <c r="K108">
        <v>11</v>
      </c>
      <c r="L108">
        <v>341</v>
      </c>
      <c r="O108" s="1" t="str">
        <f t="shared" si="4"/>
        <v/>
      </c>
      <c r="P108" s="1">
        <f>ROUND((E108*Tidbruk!$J$1)+(G108*Tidbruk!$J$2),0)</f>
        <v>1220</v>
      </c>
      <c r="Q108" s="4">
        <f t="shared" si="5"/>
        <v>21</v>
      </c>
      <c r="R108" s="1">
        <f t="shared" si="6"/>
        <v>3</v>
      </c>
      <c r="S108" s="1">
        <f t="shared" si="7"/>
        <v>1.242603550295858E-2</v>
      </c>
    </row>
    <row r="109" spans="1:19">
      <c r="A109">
        <v>34</v>
      </c>
      <c r="B109" t="s">
        <v>25</v>
      </c>
      <c r="C109">
        <v>3207</v>
      </c>
      <c r="D109" t="s">
        <v>139</v>
      </c>
      <c r="E109">
        <v>574.38</v>
      </c>
      <c r="F109">
        <v>238</v>
      </c>
      <c r="G109">
        <v>196</v>
      </c>
      <c r="H109">
        <v>64668</v>
      </c>
      <c r="I109">
        <v>2.93</v>
      </c>
      <c r="J109">
        <v>45</v>
      </c>
      <c r="K109">
        <v>9</v>
      </c>
      <c r="L109">
        <v>345</v>
      </c>
      <c r="O109" s="1" t="str">
        <f t="shared" si="4"/>
        <v/>
      </c>
      <c r="P109" s="1">
        <f>ROUND((E109*Tidbruk!$J$1)+(G109*Tidbruk!$J$2),0)</f>
        <v>647</v>
      </c>
      <c r="Q109" s="4">
        <f t="shared" si="5"/>
        <v>11</v>
      </c>
      <c r="R109" s="1">
        <f t="shared" si="6"/>
        <v>2</v>
      </c>
      <c r="S109" s="1">
        <f t="shared" si="7"/>
        <v>6.5088757396449702E-3</v>
      </c>
    </row>
    <row r="110" spans="1:19">
      <c r="A110">
        <v>42</v>
      </c>
      <c r="B110" t="s">
        <v>28</v>
      </c>
      <c r="C110">
        <v>3209</v>
      </c>
      <c r="D110" t="s">
        <v>140</v>
      </c>
      <c r="E110">
        <v>666.12</v>
      </c>
      <c r="F110">
        <v>217</v>
      </c>
      <c r="G110">
        <v>250</v>
      </c>
      <c r="H110">
        <v>45066</v>
      </c>
      <c r="I110">
        <v>2.66</v>
      </c>
      <c r="J110">
        <v>67</v>
      </c>
      <c r="K110">
        <v>15</v>
      </c>
      <c r="L110">
        <v>331</v>
      </c>
      <c r="O110" s="1" t="str">
        <f t="shared" si="4"/>
        <v/>
      </c>
      <c r="P110" s="1">
        <f>ROUND((E110*Tidbruk!$J$1)+(G110*Tidbruk!$J$2),0)</f>
        <v>765</v>
      </c>
      <c r="Q110" s="4">
        <f t="shared" si="5"/>
        <v>13</v>
      </c>
      <c r="R110" s="1">
        <f t="shared" si="6"/>
        <v>2</v>
      </c>
      <c r="S110" s="1">
        <f t="shared" si="7"/>
        <v>7.6923076923076927E-3</v>
      </c>
    </row>
    <row r="111" spans="1:19">
      <c r="A111">
        <v>15</v>
      </c>
      <c r="B111" t="s">
        <v>94</v>
      </c>
      <c r="C111">
        <v>3212</v>
      </c>
      <c r="D111" t="s">
        <v>141</v>
      </c>
      <c r="E111">
        <v>224.69</v>
      </c>
      <c r="F111">
        <v>321</v>
      </c>
      <c r="G111">
        <v>61</v>
      </c>
      <c r="H111">
        <v>20698</v>
      </c>
      <c r="I111">
        <v>3.68</v>
      </c>
      <c r="J111">
        <v>14</v>
      </c>
      <c r="K111">
        <v>11</v>
      </c>
      <c r="L111">
        <v>341</v>
      </c>
      <c r="O111" s="1" t="str">
        <f t="shared" si="4"/>
        <v/>
      </c>
      <c r="P111" s="1">
        <f>ROUND((E111*Tidbruk!$J$1)+(G111*Tidbruk!$J$2),0)</f>
        <v>243</v>
      </c>
      <c r="Q111" s="4">
        <f t="shared" si="5"/>
        <v>5</v>
      </c>
      <c r="R111" s="1">
        <f t="shared" si="6"/>
        <v>1</v>
      </c>
      <c r="S111" s="1">
        <f t="shared" si="7"/>
        <v>2.9585798816568047E-3</v>
      </c>
    </row>
    <row r="112" spans="1:19">
      <c r="A112">
        <v>46</v>
      </c>
      <c r="B112" t="s">
        <v>32</v>
      </c>
      <c r="C112">
        <v>3214</v>
      </c>
      <c r="D112" t="s">
        <v>142</v>
      </c>
      <c r="E112">
        <v>284.07</v>
      </c>
      <c r="F112">
        <v>302</v>
      </c>
      <c r="G112">
        <v>85</v>
      </c>
      <c r="H112">
        <v>16337</v>
      </c>
      <c r="I112">
        <v>3.34</v>
      </c>
      <c r="J112">
        <v>30</v>
      </c>
      <c r="K112">
        <v>17</v>
      </c>
      <c r="L112">
        <v>326</v>
      </c>
      <c r="O112" s="1" t="str">
        <f t="shared" si="4"/>
        <v/>
      </c>
      <c r="P112" s="1">
        <f>ROUND((E112*Tidbruk!$J$1)+(G112*Tidbruk!$J$2),0)</f>
        <v>312</v>
      </c>
      <c r="Q112" s="4">
        <f t="shared" si="5"/>
        <v>6</v>
      </c>
      <c r="R112" s="1">
        <f t="shared" si="6"/>
        <v>1</v>
      </c>
      <c r="S112" s="1">
        <f t="shared" si="7"/>
        <v>3.5502958579881655E-3</v>
      </c>
    </row>
    <row r="113" spans="1:19">
      <c r="A113">
        <v>50</v>
      </c>
      <c r="B113" t="s">
        <v>21</v>
      </c>
      <c r="C113">
        <v>3216</v>
      </c>
      <c r="D113" t="s">
        <v>143</v>
      </c>
      <c r="E113">
        <v>418.93</v>
      </c>
      <c r="F113">
        <v>277</v>
      </c>
      <c r="G113">
        <v>134</v>
      </c>
      <c r="H113">
        <v>19855</v>
      </c>
      <c r="I113">
        <v>3.13</v>
      </c>
      <c r="J113">
        <v>38</v>
      </c>
      <c r="K113">
        <v>21</v>
      </c>
      <c r="L113">
        <v>321</v>
      </c>
      <c r="O113" s="1" t="str">
        <f t="shared" si="4"/>
        <v/>
      </c>
      <c r="P113" s="1">
        <f>ROUND((E113*Tidbruk!$J$1)+(G113*Tidbruk!$J$2),0)</f>
        <v>466</v>
      </c>
      <c r="Q113" s="4">
        <f t="shared" si="5"/>
        <v>8</v>
      </c>
      <c r="R113" s="1">
        <f t="shared" si="6"/>
        <v>2</v>
      </c>
      <c r="S113" s="1">
        <f t="shared" si="7"/>
        <v>4.7337278106508876E-3</v>
      </c>
    </row>
    <row r="114" spans="1:19">
      <c r="A114">
        <v>39</v>
      </c>
      <c r="B114" t="s">
        <v>60</v>
      </c>
      <c r="C114">
        <v>3218</v>
      </c>
      <c r="D114" t="s">
        <v>144</v>
      </c>
      <c r="E114">
        <v>259.82</v>
      </c>
      <c r="F114">
        <v>308</v>
      </c>
      <c r="G114">
        <v>101</v>
      </c>
      <c r="H114">
        <v>22344</v>
      </c>
      <c r="I114">
        <v>2.57</v>
      </c>
      <c r="J114">
        <v>74</v>
      </c>
      <c r="K114">
        <v>12</v>
      </c>
      <c r="L114">
        <v>339</v>
      </c>
      <c r="O114" s="1" t="str">
        <f t="shared" si="4"/>
        <v/>
      </c>
      <c r="P114" s="1">
        <f>ROUND((E114*Tidbruk!$J$1)+(G114*Tidbruk!$J$2),0)</f>
        <v>300</v>
      </c>
      <c r="Q114" s="4">
        <f t="shared" si="5"/>
        <v>5</v>
      </c>
      <c r="R114" s="1">
        <f t="shared" si="6"/>
        <v>1</v>
      </c>
      <c r="S114" s="1">
        <f t="shared" si="7"/>
        <v>2.9585798816568047E-3</v>
      </c>
    </row>
    <row r="115" spans="1:19">
      <c r="A115">
        <v>42</v>
      </c>
      <c r="B115" t="s">
        <v>28</v>
      </c>
      <c r="C115">
        <v>3220</v>
      </c>
      <c r="D115" t="s">
        <v>145</v>
      </c>
      <c r="E115">
        <v>490.83</v>
      </c>
      <c r="F115">
        <v>257</v>
      </c>
      <c r="G115">
        <v>195</v>
      </c>
      <c r="H115">
        <v>11549</v>
      </c>
      <c r="I115">
        <v>2.52</v>
      </c>
      <c r="J115">
        <v>78</v>
      </c>
      <c r="K115">
        <v>42</v>
      </c>
      <c r="L115">
        <v>289</v>
      </c>
      <c r="O115" s="1" t="str">
        <f t="shared" si="4"/>
        <v/>
      </c>
      <c r="P115" s="1">
        <f>ROUND((E115*Tidbruk!$J$1)+(G115*Tidbruk!$J$2),0)</f>
        <v>570</v>
      </c>
      <c r="Q115" s="4">
        <f t="shared" si="5"/>
        <v>10</v>
      </c>
      <c r="R115" s="1">
        <f t="shared" si="6"/>
        <v>2</v>
      </c>
      <c r="S115" s="1">
        <f t="shared" si="7"/>
        <v>5.9171597633136093E-3</v>
      </c>
    </row>
    <row r="116" spans="1:19">
      <c r="A116">
        <v>40</v>
      </c>
      <c r="B116" t="s">
        <v>39</v>
      </c>
      <c r="C116">
        <v>3222</v>
      </c>
      <c r="D116" t="s">
        <v>146</v>
      </c>
      <c r="E116">
        <v>170.12</v>
      </c>
      <c r="F116">
        <v>341</v>
      </c>
      <c r="G116">
        <v>67</v>
      </c>
      <c r="H116">
        <v>50013</v>
      </c>
      <c r="I116">
        <v>2.54</v>
      </c>
      <c r="J116">
        <v>77</v>
      </c>
      <c r="K116">
        <v>3</v>
      </c>
      <c r="L116">
        <v>356</v>
      </c>
      <c r="O116" s="1" t="str">
        <f t="shared" si="4"/>
        <v/>
      </c>
      <c r="P116" s="1">
        <f>ROUND((E116*Tidbruk!$J$1)+(G116*Tidbruk!$J$2),0)</f>
        <v>197</v>
      </c>
      <c r="Q116" s="4">
        <f t="shared" si="5"/>
        <v>4</v>
      </c>
      <c r="R116" s="1">
        <f t="shared" si="6"/>
        <v>1</v>
      </c>
      <c r="S116" s="1">
        <f t="shared" si="7"/>
        <v>2.3668639053254438E-3</v>
      </c>
    </row>
    <row r="117" spans="1:19">
      <c r="A117">
        <v>18</v>
      </c>
      <c r="B117" t="s">
        <v>73</v>
      </c>
      <c r="C117">
        <v>3224</v>
      </c>
      <c r="D117" t="s">
        <v>147</v>
      </c>
      <c r="E117">
        <v>222.81</v>
      </c>
      <c r="F117">
        <v>322</v>
      </c>
      <c r="G117">
        <v>56</v>
      </c>
      <c r="H117">
        <v>20509</v>
      </c>
      <c r="I117">
        <v>3.98</v>
      </c>
      <c r="J117">
        <v>7</v>
      </c>
      <c r="K117">
        <v>11</v>
      </c>
      <c r="L117">
        <v>341</v>
      </c>
      <c r="O117" s="1" t="str">
        <f t="shared" si="4"/>
        <v/>
      </c>
      <c r="P117" s="1">
        <f>ROUND((E117*Tidbruk!$J$1)+(G117*Tidbruk!$J$2),0)</f>
        <v>238</v>
      </c>
      <c r="Q117" s="4">
        <f t="shared" si="5"/>
        <v>4</v>
      </c>
      <c r="R117" s="1">
        <f t="shared" si="6"/>
        <v>1</v>
      </c>
      <c r="S117" s="1">
        <f t="shared" si="7"/>
        <v>2.3668639053254438E-3</v>
      </c>
    </row>
    <row r="118" spans="1:19">
      <c r="A118">
        <v>46</v>
      </c>
      <c r="B118" t="s">
        <v>32</v>
      </c>
      <c r="C118">
        <v>3226</v>
      </c>
      <c r="D118" t="s">
        <v>148</v>
      </c>
      <c r="E118">
        <v>1678.31</v>
      </c>
      <c r="F118">
        <v>55</v>
      </c>
      <c r="G118">
        <v>1053</v>
      </c>
      <c r="H118">
        <v>18314</v>
      </c>
      <c r="I118">
        <v>1.59</v>
      </c>
      <c r="J118">
        <v>166</v>
      </c>
      <c r="K118">
        <v>92</v>
      </c>
      <c r="L118">
        <v>225</v>
      </c>
      <c r="O118" s="1" t="str">
        <f t="shared" si="4"/>
        <v/>
      </c>
      <c r="P118" s="1">
        <f>ROUND((E118*Tidbruk!$J$1)+(G118*Tidbruk!$J$2),0)</f>
        <v>2202</v>
      </c>
      <c r="Q118" s="4">
        <f t="shared" si="5"/>
        <v>37</v>
      </c>
      <c r="R118" s="1">
        <f t="shared" si="6"/>
        <v>5</v>
      </c>
      <c r="S118" s="1">
        <f t="shared" si="7"/>
        <v>2.1893491124260357E-2</v>
      </c>
    </row>
    <row r="119" spans="1:19">
      <c r="A119">
        <v>55</v>
      </c>
      <c r="B119" t="s">
        <v>44</v>
      </c>
      <c r="C119">
        <v>3228</v>
      </c>
      <c r="D119" t="s">
        <v>149</v>
      </c>
      <c r="E119">
        <v>1250.6199999999999</v>
      </c>
      <c r="F119">
        <v>99</v>
      </c>
      <c r="G119">
        <v>612</v>
      </c>
      <c r="H119">
        <v>24897</v>
      </c>
      <c r="I119">
        <v>2.04</v>
      </c>
      <c r="J119">
        <v>120</v>
      </c>
      <c r="K119">
        <v>50</v>
      </c>
      <c r="L119">
        <v>271</v>
      </c>
      <c r="O119" s="1" t="str">
        <f t="shared" si="4"/>
        <v/>
      </c>
      <c r="P119" s="1">
        <f>ROUND((E119*Tidbruk!$J$1)+(G119*Tidbruk!$J$2),0)</f>
        <v>1528</v>
      </c>
      <c r="Q119" s="4">
        <f t="shared" si="5"/>
        <v>26</v>
      </c>
      <c r="R119" s="1">
        <f t="shared" si="6"/>
        <v>4</v>
      </c>
      <c r="S119" s="1">
        <f t="shared" si="7"/>
        <v>1.5384615384615385E-2</v>
      </c>
    </row>
    <row r="120" spans="1:19">
      <c r="A120">
        <v>56</v>
      </c>
      <c r="B120" t="s">
        <v>19</v>
      </c>
      <c r="C120">
        <v>3230</v>
      </c>
      <c r="D120" t="s">
        <v>150</v>
      </c>
      <c r="E120">
        <v>184.59</v>
      </c>
      <c r="F120">
        <v>338</v>
      </c>
      <c r="G120">
        <v>82</v>
      </c>
      <c r="H120">
        <v>7453</v>
      </c>
      <c r="I120">
        <v>2.25</v>
      </c>
      <c r="J120">
        <v>101</v>
      </c>
      <c r="K120">
        <v>25</v>
      </c>
      <c r="L120">
        <v>314</v>
      </c>
      <c r="O120" s="1" t="str">
        <f t="shared" si="4"/>
        <v/>
      </c>
      <c r="P120" s="1">
        <f>ROUND((E120*Tidbruk!$J$1)+(G120*Tidbruk!$J$2),0)</f>
        <v>220</v>
      </c>
      <c r="Q120" s="4">
        <f t="shared" si="5"/>
        <v>4</v>
      </c>
      <c r="R120" s="1">
        <f t="shared" si="6"/>
        <v>1</v>
      </c>
      <c r="S120" s="1">
        <f t="shared" si="7"/>
        <v>2.3668639053254438E-3</v>
      </c>
    </row>
    <row r="121" spans="1:19">
      <c r="A121">
        <v>46</v>
      </c>
      <c r="B121" t="s">
        <v>32</v>
      </c>
      <c r="C121">
        <v>3232</v>
      </c>
      <c r="D121" t="s">
        <v>151</v>
      </c>
      <c r="E121">
        <v>623.5</v>
      </c>
      <c r="F121">
        <v>232</v>
      </c>
      <c r="G121">
        <v>179</v>
      </c>
      <c r="H121">
        <v>26023</v>
      </c>
      <c r="I121">
        <v>3.48</v>
      </c>
      <c r="J121">
        <v>22</v>
      </c>
      <c r="K121">
        <v>24</v>
      </c>
      <c r="L121">
        <v>316</v>
      </c>
      <c r="O121" s="1" t="str">
        <f t="shared" si="4"/>
        <v/>
      </c>
      <c r="P121" s="1">
        <f>ROUND((E121*Tidbruk!$J$1)+(G121*Tidbruk!$J$2),0)</f>
        <v>680</v>
      </c>
      <c r="Q121" s="4">
        <f t="shared" si="5"/>
        <v>12</v>
      </c>
      <c r="R121" s="1">
        <f t="shared" si="6"/>
        <v>2</v>
      </c>
      <c r="S121" s="1">
        <f t="shared" si="7"/>
        <v>7.100591715976331E-3</v>
      </c>
    </row>
    <row r="122" spans="1:19">
      <c r="A122">
        <v>50</v>
      </c>
      <c r="B122" t="s">
        <v>21</v>
      </c>
      <c r="C122">
        <v>3234</v>
      </c>
      <c r="D122" t="s">
        <v>152</v>
      </c>
      <c r="E122">
        <v>726.79</v>
      </c>
      <c r="F122">
        <v>197</v>
      </c>
      <c r="G122">
        <v>272</v>
      </c>
      <c r="H122">
        <v>9420</v>
      </c>
      <c r="I122">
        <v>2.67</v>
      </c>
      <c r="J122">
        <v>65</v>
      </c>
      <c r="K122">
        <v>77</v>
      </c>
      <c r="L122">
        <v>238</v>
      </c>
      <c r="O122" s="1" t="str">
        <f t="shared" si="4"/>
        <v/>
      </c>
      <c r="P122" s="1">
        <f>ROUND((E122*Tidbruk!$J$1)+(G122*Tidbruk!$J$2),0)</f>
        <v>834</v>
      </c>
      <c r="Q122" s="4">
        <f t="shared" si="5"/>
        <v>14</v>
      </c>
      <c r="R122" s="1">
        <f t="shared" si="6"/>
        <v>2</v>
      </c>
      <c r="S122" s="1">
        <f t="shared" si="7"/>
        <v>8.2840236686390536E-3</v>
      </c>
    </row>
    <row r="123" spans="1:19">
      <c r="A123">
        <v>55</v>
      </c>
      <c r="B123" t="s">
        <v>44</v>
      </c>
      <c r="C123">
        <v>3236</v>
      </c>
      <c r="D123" t="s">
        <v>153</v>
      </c>
      <c r="E123">
        <v>463.54</v>
      </c>
      <c r="F123">
        <v>265</v>
      </c>
      <c r="G123">
        <v>194</v>
      </c>
      <c r="H123">
        <v>7043</v>
      </c>
      <c r="I123">
        <v>2.39</v>
      </c>
      <c r="J123">
        <v>88</v>
      </c>
      <c r="K123">
        <v>66</v>
      </c>
      <c r="L123">
        <v>255</v>
      </c>
      <c r="O123" s="1" t="str">
        <f t="shared" si="4"/>
        <v/>
      </c>
      <c r="P123" s="1">
        <f>ROUND((E123*Tidbruk!$J$1)+(G123*Tidbruk!$J$2),0)</f>
        <v>545</v>
      </c>
      <c r="Q123" s="4">
        <f t="shared" si="5"/>
        <v>10</v>
      </c>
      <c r="R123" s="1">
        <f t="shared" si="6"/>
        <v>2</v>
      </c>
      <c r="S123" s="1">
        <f t="shared" si="7"/>
        <v>5.9171597633136093E-3</v>
      </c>
    </row>
    <row r="124" spans="1:19">
      <c r="A124">
        <v>34</v>
      </c>
      <c r="B124" t="s">
        <v>25</v>
      </c>
      <c r="C124">
        <v>3238</v>
      </c>
      <c r="D124" t="s">
        <v>154</v>
      </c>
      <c r="E124">
        <v>722.65</v>
      </c>
      <c r="F124">
        <v>198</v>
      </c>
      <c r="G124">
        <v>324</v>
      </c>
      <c r="H124">
        <v>16505</v>
      </c>
      <c r="I124">
        <v>2.23</v>
      </c>
      <c r="J124">
        <v>103</v>
      </c>
      <c r="K124">
        <v>44</v>
      </c>
      <c r="L124">
        <v>284</v>
      </c>
      <c r="O124" s="1" t="str">
        <f t="shared" si="4"/>
        <v/>
      </c>
      <c r="P124" s="1">
        <f>ROUND((E124*Tidbruk!$J$1)+(G124*Tidbruk!$J$2),0)</f>
        <v>864</v>
      </c>
      <c r="Q124" s="4">
        <f t="shared" si="5"/>
        <v>15</v>
      </c>
      <c r="R124" s="1">
        <f t="shared" si="6"/>
        <v>2</v>
      </c>
      <c r="S124" s="1">
        <f t="shared" si="7"/>
        <v>8.8757396449704144E-3</v>
      </c>
    </row>
    <row r="125" spans="1:19">
      <c r="A125">
        <v>50</v>
      </c>
      <c r="B125" t="s">
        <v>21</v>
      </c>
      <c r="C125">
        <v>3240</v>
      </c>
      <c r="D125" t="s">
        <v>155</v>
      </c>
      <c r="E125">
        <v>830.41</v>
      </c>
      <c r="F125">
        <v>184</v>
      </c>
      <c r="G125">
        <v>386</v>
      </c>
      <c r="H125">
        <v>28352</v>
      </c>
      <c r="I125">
        <v>2.15</v>
      </c>
      <c r="J125">
        <v>111</v>
      </c>
      <c r="K125">
        <v>29</v>
      </c>
      <c r="L125">
        <v>305</v>
      </c>
      <c r="O125" s="1" t="str">
        <f t="shared" si="4"/>
        <v/>
      </c>
      <c r="P125" s="1">
        <f>ROUND((E125*Tidbruk!$J$1)+(G125*Tidbruk!$J$2),0)</f>
        <v>1002</v>
      </c>
      <c r="Q125" s="4">
        <f t="shared" si="5"/>
        <v>17</v>
      </c>
      <c r="R125" s="1">
        <f t="shared" si="6"/>
        <v>3</v>
      </c>
      <c r="S125" s="1">
        <f t="shared" si="7"/>
        <v>1.0059171597633136E-2</v>
      </c>
    </row>
    <row r="126" spans="1:19">
      <c r="A126">
        <v>34</v>
      </c>
      <c r="B126" t="s">
        <v>25</v>
      </c>
      <c r="C126">
        <v>3242</v>
      </c>
      <c r="D126" t="s">
        <v>156</v>
      </c>
      <c r="E126">
        <v>715.03</v>
      </c>
      <c r="F126">
        <v>201</v>
      </c>
      <c r="G126">
        <v>261</v>
      </c>
      <c r="H126">
        <v>3022</v>
      </c>
      <c r="I126">
        <v>2.74</v>
      </c>
      <c r="J126">
        <v>59</v>
      </c>
      <c r="K126">
        <v>237</v>
      </c>
      <c r="L126">
        <v>126</v>
      </c>
      <c r="O126" s="1" t="str">
        <f t="shared" si="4"/>
        <v/>
      </c>
      <c r="P126" s="1">
        <f>ROUND((E126*Tidbruk!$J$1)+(G126*Tidbruk!$J$2),0)</f>
        <v>816</v>
      </c>
      <c r="Q126" s="4">
        <f t="shared" si="5"/>
        <v>14</v>
      </c>
      <c r="R126" s="1">
        <f t="shared" si="6"/>
        <v>2</v>
      </c>
      <c r="S126" s="1">
        <f t="shared" si="7"/>
        <v>8.2840236686390536E-3</v>
      </c>
    </row>
    <row r="127" spans="1:19">
      <c r="A127">
        <v>42</v>
      </c>
      <c r="B127" t="s">
        <v>28</v>
      </c>
      <c r="C127">
        <v>3301</v>
      </c>
      <c r="D127" t="s">
        <v>157</v>
      </c>
      <c r="E127">
        <v>1077.76</v>
      </c>
      <c r="F127">
        <v>129</v>
      </c>
      <c r="G127">
        <v>305</v>
      </c>
      <c r="H127">
        <v>105452</v>
      </c>
      <c r="I127">
        <v>3.53</v>
      </c>
      <c r="J127">
        <v>19</v>
      </c>
      <c r="K127">
        <v>10</v>
      </c>
      <c r="L127">
        <v>344</v>
      </c>
      <c r="O127" s="1" t="str">
        <f t="shared" si="4"/>
        <v/>
      </c>
      <c r="P127" s="1">
        <f>ROUND((E127*Tidbruk!$J$1)+(G127*Tidbruk!$J$2),0)</f>
        <v>1172</v>
      </c>
      <c r="Q127" s="4">
        <f t="shared" si="5"/>
        <v>20</v>
      </c>
      <c r="R127" s="1">
        <f t="shared" si="6"/>
        <v>3</v>
      </c>
      <c r="S127" s="1">
        <f t="shared" si="7"/>
        <v>1.1834319526627219E-2</v>
      </c>
    </row>
    <row r="128" spans="1:19">
      <c r="A128">
        <v>42</v>
      </c>
      <c r="B128" t="s">
        <v>28</v>
      </c>
      <c r="C128">
        <v>3303</v>
      </c>
      <c r="D128" t="s">
        <v>158</v>
      </c>
      <c r="E128">
        <v>2170.21</v>
      </c>
      <c r="F128">
        <v>28</v>
      </c>
      <c r="G128">
        <v>754</v>
      </c>
      <c r="H128">
        <v>29011</v>
      </c>
      <c r="I128">
        <v>2.88</v>
      </c>
      <c r="J128">
        <v>49</v>
      </c>
      <c r="K128">
        <v>75</v>
      </c>
      <c r="L128">
        <v>243</v>
      </c>
      <c r="O128" s="1" t="str">
        <f t="shared" si="4"/>
        <v/>
      </c>
      <c r="P128" s="1">
        <f>ROUND((E128*Tidbruk!$J$1)+(G128*Tidbruk!$J$2),0)</f>
        <v>2452</v>
      </c>
      <c r="Q128" s="4">
        <f t="shared" si="5"/>
        <v>41</v>
      </c>
      <c r="R128" s="1">
        <f t="shared" si="6"/>
        <v>6</v>
      </c>
      <c r="S128" s="1">
        <f t="shared" si="7"/>
        <v>2.42603550295858E-2</v>
      </c>
    </row>
    <row r="129" spans="1:19">
      <c r="A129">
        <v>42</v>
      </c>
      <c r="B129" t="s">
        <v>28</v>
      </c>
      <c r="C129">
        <v>3305</v>
      </c>
      <c r="D129" t="s">
        <v>159</v>
      </c>
      <c r="E129">
        <v>3496.22</v>
      </c>
      <c r="F129">
        <v>3</v>
      </c>
      <c r="G129">
        <v>1422</v>
      </c>
      <c r="H129">
        <v>31793</v>
      </c>
      <c r="I129">
        <v>2.46</v>
      </c>
      <c r="J129">
        <v>82</v>
      </c>
      <c r="K129">
        <v>110</v>
      </c>
      <c r="L129">
        <v>203</v>
      </c>
      <c r="O129" s="1" t="str">
        <f t="shared" si="4"/>
        <v/>
      </c>
      <c r="P129" s="1">
        <f>ROUND((E129*Tidbruk!$J$1)+(G129*Tidbruk!$J$2),0)</f>
        <v>4085</v>
      </c>
      <c r="Q129" s="4">
        <f t="shared" si="5"/>
        <v>69</v>
      </c>
      <c r="R129" s="1">
        <f t="shared" si="6"/>
        <v>10</v>
      </c>
      <c r="S129" s="1">
        <f t="shared" si="7"/>
        <v>4.0828402366863907E-2</v>
      </c>
    </row>
    <row r="130" spans="1:19">
      <c r="A130">
        <v>33</v>
      </c>
      <c r="B130" t="s">
        <v>23</v>
      </c>
      <c r="C130">
        <v>3310</v>
      </c>
      <c r="D130" t="s">
        <v>160</v>
      </c>
      <c r="E130">
        <v>419.26</v>
      </c>
      <c r="F130">
        <v>276</v>
      </c>
      <c r="G130">
        <v>135</v>
      </c>
      <c r="H130">
        <v>7065</v>
      </c>
      <c r="I130">
        <v>3.11</v>
      </c>
      <c r="J130">
        <v>40</v>
      </c>
      <c r="K130">
        <v>59</v>
      </c>
      <c r="L130">
        <v>265</v>
      </c>
      <c r="O130" s="1" t="str">
        <f t="shared" ref="O130:O193" si="8">IF(N130&gt;0,ROUND((N130-E130)/E130*100,1),"")</f>
        <v/>
      </c>
      <c r="P130" s="1">
        <f>ROUND((E130*Tidbruk!$J$1)+(G130*Tidbruk!$J$2),0)</f>
        <v>467</v>
      </c>
      <c r="Q130" s="4">
        <f t="shared" si="5"/>
        <v>8</v>
      </c>
      <c r="R130" s="1">
        <f t="shared" si="6"/>
        <v>2</v>
      </c>
      <c r="S130" s="1">
        <f t="shared" si="7"/>
        <v>4.7337278106508876E-3</v>
      </c>
    </row>
    <row r="131" spans="1:19">
      <c r="A131">
        <v>46</v>
      </c>
      <c r="B131" t="s">
        <v>32</v>
      </c>
      <c r="C131">
        <v>3312</v>
      </c>
      <c r="D131" t="s">
        <v>161</v>
      </c>
      <c r="E131">
        <v>822.18</v>
      </c>
      <c r="F131">
        <v>186</v>
      </c>
      <c r="G131">
        <v>282</v>
      </c>
      <c r="H131">
        <v>28642</v>
      </c>
      <c r="I131">
        <v>2.92</v>
      </c>
      <c r="J131">
        <v>46</v>
      </c>
      <c r="K131">
        <v>29</v>
      </c>
      <c r="L131">
        <v>305</v>
      </c>
      <c r="O131" s="1" t="str">
        <f t="shared" si="8"/>
        <v/>
      </c>
      <c r="P131" s="1">
        <f>ROUND((E131*Tidbruk!$J$1)+(G131*Tidbruk!$J$2),0)</f>
        <v>926</v>
      </c>
      <c r="Q131" s="4">
        <f t="shared" ref="Q131:Q194" si="9">ROUNDUP(P131/60,0)</f>
        <v>16</v>
      </c>
      <c r="R131" s="1">
        <f t="shared" ref="R131:R194" si="10">ROUNDUP(Q131/7.5,0)</f>
        <v>3</v>
      </c>
      <c r="S131" s="1">
        <f t="shared" ref="S131:S194" si="11">Q131/1690</f>
        <v>9.4674556213017753E-3</v>
      </c>
    </row>
    <row r="132" spans="1:19">
      <c r="A132">
        <v>33</v>
      </c>
      <c r="B132" t="s">
        <v>23</v>
      </c>
      <c r="C132">
        <v>3314</v>
      </c>
      <c r="D132" t="s">
        <v>162</v>
      </c>
      <c r="E132">
        <v>920.49</v>
      </c>
      <c r="F132">
        <v>165</v>
      </c>
      <c r="G132">
        <v>418</v>
      </c>
      <c r="H132">
        <v>20861</v>
      </c>
      <c r="I132">
        <v>2.2000000000000002</v>
      </c>
      <c r="J132">
        <v>107</v>
      </c>
      <c r="K132">
        <v>44</v>
      </c>
      <c r="L132">
        <v>284</v>
      </c>
      <c r="O132" s="1" t="str">
        <f t="shared" si="8"/>
        <v/>
      </c>
      <c r="P132" s="1">
        <f>ROUND((E132*Tidbruk!$J$1)+(G132*Tidbruk!$J$2),0)</f>
        <v>1104</v>
      </c>
      <c r="Q132" s="4">
        <f t="shared" si="9"/>
        <v>19</v>
      </c>
      <c r="R132" s="1">
        <f t="shared" si="10"/>
        <v>3</v>
      </c>
      <c r="S132" s="1">
        <f t="shared" si="11"/>
        <v>1.1242603550295858E-2</v>
      </c>
    </row>
    <row r="133" spans="1:19">
      <c r="A133">
        <v>40</v>
      </c>
      <c r="B133" t="s">
        <v>39</v>
      </c>
      <c r="C133">
        <v>3316</v>
      </c>
      <c r="D133" t="s">
        <v>163</v>
      </c>
      <c r="E133">
        <v>1353.27</v>
      </c>
      <c r="F133">
        <v>81</v>
      </c>
      <c r="G133">
        <v>463</v>
      </c>
      <c r="H133">
        <v>14664</v>
      </c>
      <c r="I133">
        <v>2.92</v>
      </c>
      <c r="J133">
        <v>46</v>
      </c>
      <c r="K133">
        <v>92</v>
      </c>
      <c r="L133">
        <v>225</v>
      </c>
      <c r="O133" s="1" t="str">
        <f t="shared" si="8"/>
        <v/>
      </c>
      <c r="P133" s="1">
        <f>ROUND((E133*Tidbruk!$J$1)+(G133*Tidbruk!$J$2),0)</f>
        <v>1524</v>
      </c>
      <c r="Q133" s="4">
        <f t="shared" si="9"/>
        <v>26</v>
      </c>
      <c r="R133" s="1">
        <f t="shared" si="10"/>
        <v>4</v>
      </c>
      <c r="S133" s="1">
        <f t="shared" si="11"/>
        <v>1.5384615384615385E-2</v>
      </c>
    </row>
    <row r="134" spans="1:19">
      <c r="A134">
        <v>32</v>
      </c>
      <c r="B134" t="s">
        <v>84</v>
      </c>
      <c r="C134">
        <v>3318</v>
      </c>
      <c r="D134" t="s">
        <v>164</v>
      </c>
      <c r="E134">
        <v>837.06</v>
      </c>
      <c r="F134">
        <v>181</v>
      </c>
      <c r="G134">
        <v>340</v>
      </c>
      <c r="H134">
        <v>2235</v>
      </c>
      <c r="I134">
        <v>2.46</v>
      </c>
      <c r="J134">
        <v>82</v>
      </c>
      <c r="K134">
        <v>375</v>
      </c>
      <c r="L134">
        <v>76</v>
      </c>
      <c r="O134" s="1" t="str">
        <f t="shared" si="8"/>
        <v/>
      </c>
      <c r="P134" s="1">
        <f>ROUND((E134*Tidbruk!$J$1)+(G134*Tidbruk!$J$2),0)</f>
        <v>978</v>
      </c>
      <c r="Q134" s="4">
        <f t="shared" si="9"/>
        <v>17</v>
      </c>
      <c r="R134" s="1">
        <f t="shared" si="10"/>
        <v>3</v>
      </c>
      <c r="S134" s="1">
        <f t="shared" si="11"/>
        <v>1.0059171597633136E-2</v>
      </c>
    </row>
    <row r="135" spans="1:19">
      <c r="A135">
        <v>55</v>
      </c>
      <c r="B135" t="s">
        <v>44</v>
      </c>
      <c r="C135">
        <v>3320</v>
      </c>
      <c r="D135" t="s">
        <v>165</v>
      </c>
      <c r="E135">
        <v>1065.49</v>
      </c>
      <c r="F135">
        <v>131</v>
      </c>
      <c r="G135">
        <v>671</v>
      </c>
      <c r="H135">
        <v>1117</v>
      </c>
      <c r="I135">
        <v>1.59</v>
      </c>
      <c r="J135">
        <v>166</v>
      </c>
      <c r="K135">
        <v>954</v>
      </c>
      <c r="L135">
        <v>14</v>
      </c>
      <c r="O135" s="1" t="str">
        <f t="shared" si="8"/>
        <v/>
      </c>
      <c r="P135" s="1">
        <f>ROUND((E135*Tidbruk!$J$1)+(G135*Tidbruk!$J$2),0)</f>
        <v>1399</v>
      </c>
      <c r="Q135" s="4">
        <f t="shared" si="9"/>
        <v>24</v>
      </c>
      <c r="R135" s="1">
        <f t="shared" si="10"/>
        <v>4</v>
      </c>
      <c r="S135" s="1">
        <f t="shared" si="11"/>
        <v>1.4201183431952662E-2</v>
      </c>
    </row>
    <row r="136" spans="1:19">
      <c r="A136">
        <v>42</v>
      </c>
      <c r="B136" t="s">
        <v>28</v>
      </c>
      <c r="C136">
        <v>3322</v>
      </c>
      <c r="D136" t="s">
        <v>166</v>
      </c>
      <c r="E136">
        <v>1720.16</v>
      </c>
      <c r="F136">
        <v>52</v>
      </c>
      <c r="G136">
        <v>772</v>
      </c>
      <c r="H136">
        <v>3266</v>
      </c>
      <c r="I136">
        <v>2.23</v>
      </c>
      <c r="J136">
        <v>103</v>
      </c>
      <c r="K136">
        <v>527</v>
      </c>
      <c r="L136">
        <v>43</v>
      </c>
      <c r="O136" s="1" t="str">
        <f t="shared" si="8"/>
        <v/>
      </c>
      <c r="P136" s="1">
        <f>ROUND((E136*Tidbruk!$J$1)+(G136*Tidbruk!$J$2),0)</f>
        <v>2057</v>
      </c>
      <c r="Q136" s="4">
        <f t="shared" si="9"/>
        <v>35</v>
      </c>
      <c r="R136" s="1">
        <f t="shared" si="10"/>
        <v>5</v>
      </c>
      <c r="S136" s="1">
        <f t="shared" si="11"/>
        <v>2.0710059171597635E-2</v>
      </c>
    </row>
    <row r="137" spans="1:19">
      <c r="A137">
        <v>33</v>
      </c>
      <c r="B137" t="s">
        <v>23</v>
      </c>
      <c r="C137">
        <v>3324</v>
      </c>
      <c r="D137" t="s">
        <v>167</v>
      </c>
      <c r="E137">
        <v>1351.45</v>
      </c>
      <c r="F137">
        <v>82</v>
      </c>
      <c r="G137">
        <v>514</v>
      </c>
      <c r="H137">
        <v>4888</v>
      </c>
      <c r="I137">
        <v>2.63</v>
      </c>
      <c r="J137">
        <v>69</v>
      </c>
      <c r="K137">
        <v>276</v>
      </c>
      <c r="L137">
        <v>111</v>
      </c>
      <c r="O137" s="1" t="str">
        <f t="shared" si="8"/>
        <v/>
      </c>
      <c r="P137" s="1">
        <f>ROUND((E137*Tidbruk!$J$1)+(G137*Tidbruk!$J$2),0)</f>
        <v>1556</v>
      </c>
      <c r="Q137" s="4">
        <f t="shared" si="9"/>
        <v>26</v>
      </c>
      <c r="R137" s="1">
        <f t="shared" si="10"/>
        <v>4</v>
      </c>
      <c r="S137" s="1">
        <f t="shared" si="11"/>
        <v>1.5384615384615385E-2</v>
      </c>
    </row>
    <row r="138" spans="1:19">
      <c r="A138">
        <v>50</v>
      </c>
      <c r="B138" t="s">
        <v>21</v>
      </c>
      <c r="C138">
        <v>3326</v>
      </c>
      <c r="D138" t="s">
        <v>168</v>
      </c>
      <c r="E138">
        <v>1039.28</v>
      </c>
      <c r="F138">
        <v>136</v>
      </c>
      <c r="G138">
        <v>712</v>
      </c>
      <c r="H138">
        <v>2685</v>
      </c>
      <c r="I138">
        <v>1.46</v>
      </c>
      <c r="J138">
        <v>179</v>
      </c>
      <c r="K138">
        <v>387</v>
      </c>
      <c r="L138">
        <v>70</v>
      </c>
      <c r="O138" s="1" t="str">
        <f t="shared" si="8"/>
        <v/>
      </c>
      <c r="P138" s="1">
        <f>ROUND((E138*Tidbruk!$J$1)+(G138*Tidbruk!$J$2),0)</f>
        <v>1403</v>
      </c>
      <c r="Q138" s="4">
        <f t="shared" si="9"/>
        <v>24</v>
      </c>
      <c r="R138" s="1">
        <f t="shared" si="10"/>
        <v>4</v>
      </c>
      <c r="S138" s="1">
        <f t="shared" si="11"/>
        <v>1.4201183431952662E-2</v>
      </c>
    </row>
    <row r="139" spans="1:19">
      <c r="A139">
        <v>18</v>
      </c>
      <c r="B139" t="s">
        <v>73</v>
      </c>
      <c r="C139">
        <v>3328</v>
      </c>
      <c r="D139" t="s">
        <v>169</v>
      </c>
      <c r="E139">
        <v>2265.7199999999998</v>
      </c>
      <c r="F139">
        <v>25</v>
      </c>
      <c r="G139">
        <v>1081</v>
      </c>
      <c r="H139">
        <v>4835</v>
      </c>
      <c r="I139">
        <v>2.1</v>
      </c>
      <c r="J139">
        <v>115</v>
      </c>
      <c r="K139">
        <v>469</v>
      </c>
      <c r="L139">
        <v>55</v>
      </c>
      <c r="O139" s="1" t="str">
        <f t="shared" si="8"/>
        <v/>
      </c>
      <c r="P139" s="1">
        <f>ROUND((E139*Tidbruk!$J$1)+(G139*Tidbruk!$J$2),0)</f>
        <v>2751</v>
      </c>
      <c r="Q139" s="4">
        <f t="shared" si="9"/>
        <v>46</v>
      </c>
      <c r="R139" s="1">
        <f t="shared" si="10"/>
        <v>7</v>
      </c>
      <c r="S139" s="1">
        <f t="shared" si="11"/>
        <v>2.7218934911242602E-2</v>
      </c>
    </row>
    <row r="140" spans="1:19">
      <c r="A140">
        <v>15</v>
      </c>
      <c r="B140" t="s">
        <v>94</v>
      </c>
      <c r="C140">
        <v>3330</v>
      </c>
      <c r="D140" t="s">
        <v>170</v>
      </c>
      <c r="E140">
        <v>2523.6</v>
      </c>
      <c r="F140">
        <v>16</v>
      </c>
      <c r="G140">
        <v>1653</v>
      </c>
      <c r="H140">
        <v>4527</v>
      </c>
      <c r="I140">
        <v>1.53</v>
      </c>
      <c r="J140">
        <v>173</v>
      </c>
      <c r="K140">
        <v>557</v>
      </c>
      <c r="L140">
        <v>39</v>
      </c>
      <c r="O140" s="1" t="str">
        <f t="shared" si="8"/>
        <v/>
      </c>
      <c r="P140" s="1">
        <f>ROUND((E140*Tidbruk!$J$1)+(G140*Tidbruk!$J$2),0)</f>
        <v>3356</v>
      </c>
      <c r="Q140" s="4">
        <f t="shared" si="9"/>
        <v>56</v>
      </c>
      <c r="R140" s="1">
        <f t="shared" si="10"/>
        <v>8</v>
      </c>
      <c r="S140" s="1">
        <f t="shared" si="11"/>
        <v>3.3136094674556214E-2</v>
      </c>
    </row>
    <row r="141" spans="1:19">
      <c r="A141">
        <v>50</v>
      </c>
      <c r="B141" t="s">
        <v>21</v>
      </c>
      <c r="C141">
        <v>3332</v>
      </c>
      <c r="D141" t="s">
        <v>171</v>
      </c>
      <c r="E141">
        <v>1915.51</v>
      </c>
      <c r="F141">
        <v>42</v>
      </c>
      <c r="G141">
        <v>811</v>
      </c>
      <c r="H141">
        <v>3530</v>
      </c>
      <c r="I141">
        <v>2.36</v>
      </c>
      <c r="J141">
        <v>89</v>
      </c>
      <c r="K141">
        <v>543</v>
      </c>
      <c r="L141">
        <v>42</v>
      </c>
      <c r="O141" s="1" t="str">
        <f t="shared" si="8"/>
        <v/>
      </c>
      <c r="P141" s="1">
        <f>ROUND((E141*Tidbruk!$J$1)+(G141*Tidbruk!$J$2),0)</f>
        <v>2259</v>
      </c>
      <c r="Q141" s="4">
        <f t="shared" si="9"/>
        <v>38</v>
      </c>
      <c r="R141" s="1">
        <f t="shared" si="10"/>
        <v>6</v>
      </c>
      <c r="S141" s="1">
        <f t="shared" si="11"/>
        <v>2.2485207100591716E-2</v>
      </c>
    </row>
    <row r="142" spans="1:19">
      <c r="A142">
        <v>56</v>
      </c>
      <c r="B142" t="s">
        <v>19</v>
      </c>
      <c r="C142">
        <v>3334</v>
      </c>
      <c r="D142" t="s">
        <v>172</v>
      </c>
      <c r="E142">
        <v>1009.34</v>
      </c>
      <c r="F142">
        <v>146</v>
      </c>
      <c r="G142">
        <v>538</v>
      </c>
      <c r="H142">
        <v>2797</v>
      </c>
      <c r="I142">
        <v>1.88</v>
      </c>
      <c r="J142">
        <v>138</v>
      </c>
      <c r="K142">
        <v>361</v>
      </c>
      <c r="L142">
        <v>81</v>
      </c>
      <c r="O142" s="1" t="str">
        <f t="shared" si="8"/>
        <v/>
      </c>
      <c r="P142" s="1">
        <f>ROUND((E142*Tidbruk!$J$1)+(G142*Tidbruk!$J$2),0)</f>
        <v>1262</v>
      </c>
      <c r="Q142" s="4">
        <f t="shared" si="9"/>
        <v>22</v>
      </c>
      <c r="R142" s="1">
        <f t="shared" si="10"/>
        <v>3</v>
      </c>
      <c r="S142" s="1">
        <f t="shared" si="11"/>
        <v>1.301775147928994E-2</v>
      </c>
    </row>
    <row r="143" spans="1:19">
      <c r="A143">
        <v>50</v>
      </c>
      <c r="B143" t="s">
        <v>21</v>
      </c>
      <c r="C143">
        <v>3336</v>
      </c>
      <c r="D143" t="s">
        <v>173</v>
      </c>
      <c r="E143">
        <v>852.55</v>
      </c>
      <c r="F143">
        <v>180</v>
      </c>
      <c r="G143">
        <v>430</v>
      </c>
      <c r="H143">
        <v>1414</v>
      </c>
      <c r="I143">
        <v>1.98</v>
      </c>
      <c r="J143">
        <v>130</v>
      </c>
      <c r="K143">
        <v>603</v>
      </c>
      <c r="L143">
        <v>35</v>
      </c>
      <c r="O143" s="1" t="str">
        <f t="shared" si="8"/>
        <v/>
      </c>
      <c r="P143" s="1">
        <f>ROUND((E143*Tidbruk!$J$1)+(G143*Tidbruk!$J$2),0)</f>
        <v>1050</v>
      </c>
      <c r="Q143" s="4">
        <f t="shared" si="9"/>
        <v>18</v>
      </c>
      <c r="R143" s="1">
        <f t="shared" si="10"/>
        <v>3</v>
      </c>
      <c r="S143" s="1">
        <f t="shared" si="11"/>
        <v>1.0650887573964497E-2</v>
      </c>
    </row>
    <row r="144" spans="1:19">
      <c r="A144">
        <v>31</v>
      </c>
      <c r="B144" t="s">
        <v>90</v>
      </c>
      <c r="C144">
        <v>3338</v>
      </c>
      <c r="D144" t="s">
        <v>174</v>
      </c>
      <c r="E144">
        <v>2752.34</v>
      </c>
      <c r="F144">
        <v>8</v>
      </c>
      <c r="G144">
        <v>2266</v>
      </c>
      <c r="H144">
        <v>2466</v>
      </c>
      <c r="I144">
        <v>1.21</v>
      </c>
      <c r="J144">
        <v>219</v>
      </c>
      <c r="K144">
        <v>1116</v>
      </c>
      <c r="L144">
        <v>9</v>
      </c>
      <c r="O144" s="1" t="str">
        <f t="shared" si="8"/>
        <v/>
      </c>
      <c r="P144" s="1">
        <f>ROUND((E144*Tidbruk!$J$1)+(G144*Tidbruk!$J$2),0)</f>
        <v>3962</v>
      </c>
      <c r="Q144" s="4">
        <f t="shared" si="9"/>
        <v>67</v>
      </c>
      <c r="R144" s="1">
        <f t="shared" si="10"/>
        <v>9</v>
      </c>
      <c r="S144" s="1">
        <f t="shared" si="11"/>
        <v>3.9644970414201182E-2</v>
      </c>
    </row>
    <row r="145" spans="1:19">
      <c r="A145">
        <v>11</v>
      </c>
      <c r="B145" t="s">
        <v>82</v>
      </c>
      <c r="C145">
        <v>3401</v>
      </c>
      <c r="D145" t="s">
        <v>175</v>
      </c>
      <c r="E145">
        <v>1833.61</v>
      </c>
      <c r="F145">
        <v>45</v>
      </c>
      <c r="G145">
        <v>953</v>
      </c>
      <c r="H145">
        <v>18109</v>
      </c>
      <c r="I145">
        <v>1.92</v>
      </c>
      <c r="J145">
        <v>135</v>
      </c>
      <c r="K145">
        <v>101</v>
      </c>
      <c r="L145">
        <v>213</v>
      </c>
      <c r="O145" s="1" t="str">
        <f t="shared" si="8"/>
        <v/>
      </c>
      <c r="P145" s="1">
        <f>ROUND((E145*Tidbruk!$J$1)+(G145*Tidbruk!$J$2),0)</f>
        <v>2277</v>
      </c>
      <c r="Q145" s="4">
        <f t="shared" si="9"/>
        <v>38</v>
      </c>
      <c r="R145" s="1">
        <f t="shared" si="10"/>
        <v>6</v>
      </c>
      <c r="S145" s="1">
        <f t="shared" si="11"/>
        <v>2.2485207100591716E-2</v>
      </c>
    </row>
    <row r="146" spans="1:19">
      <c r="A146">
        <v>11</v>
      </c>
      <c r="B146" t="s">
        <v>82</v>
      </c>
      <c r="C146">
        <v>3403</v>
      </c>
      <c r="D146" t="s">
        <v>176</v>
      </c>
      <c r="E146">
        <v>490.53</v>
      </c>
      <c r="F146">
        <v>258</v>
      </c>
      <c r="G146">
        <v>338</v>
      </c>
      <c r="H146">
        <v>33441</v>
      </c>
      <c r="I146">
        <v>1.45</v>
      </c>
      <c r="J146">
        <v>182</v>
      </c>
      <c r="K146">
        <v>15</v>
      </c>
      <c r="L146">
        <v>331</v>
      </c>
      <c r="O146" s="1" t="str">
        <f t="shared" si="8"/>
        <v/>
      </c>
      <c r="P146" s="1">
        <f>ROUND((E146*Tidbruk!$J$1)+(G146*Tidbruk!$J$2),0)</f>
        <v>663</v>
      </c>
      <c r="Q146" s="4">
        <f t="shared" si="9"/>
        <v>12</v>
      </c>
      <c r="R146" s="1">
        <f t="shared" si="10"/>
        <v>2</v>
      </c>
      <c r="S146" s="1">
        <f t="shared" si="11"/>
        <v>7.100591715976331E-3</v>
      </c>
    </row>
    <row r="147" spans="1:19">
      <c r="A147">
        <v>33</v>
      </c>
      <c r="B147" t="s">
        <v>23</v>
      </c>
      <c r="C147">
        <v>3405</v>
      </c>
      <c r="D147" t="s">
        <v>177</v>
      </c>
      <c r="E147">
        <v>1235.18</v>
      </c>
      <c r="F147">
        <v>102</v>
      </c>
      <c r="G147">
        <v>451</v>
      </c>
      <c r="H147">
        <v>29011</v>
      </c>
      <c r="I147">
        <v>2.74</v>
      </c>
      <c r="J147">
        <v>59</v>
      </c>
      <c r="K147">
        <v>43</v>
      </c>
      <c r="L147">
        <v>286</v>
      </c>
      <c r="O147" s="1" t="str">
        <f t="shared" si="8"/>
        <v/>
      </c>
      <c r="P147" s="1">
        <f>ROUND((E147*Tidbruk!$J$1)+(G147*Tidbruk!$J$2),0)</f>
        <v>1410</v>
      </c>
      <c r="Q147" s="4">
        <f t="shared" si="9"/>
        <v>24</v>
      </c>
      <c r="R147" s="1">
        <f t="shared" si="10"/>
        <v>4</v>
      </c>
      <c r="S147" s="1">
        <f t="shared" si="11"/>
        <v>1.4201183431952662E-2</v>
      </c>
    </row>
    <row r="148" spans="1:19">
      <c r="A148">
        <v>56</v>
      </c>
      <c r="B148" t="s">
        <v>19</v>
      </c>
      <c r="C148">
        <v>3407</v>
      </c>
      <c r="D148" t="s">
        <v>178</v>
      </c>
      <c r="E148">
        <v>1180.56</v>
      </c>
      <c r="F148">
        <v>108</v>
      </c>
      <c r="G148">
        <v>629</v>
      </c>
      <c r="H148">
        <v>31175</v>
      </c>
      <c r="I148">
        <v>1.88</v>
      </c>
      <c r="J148">
        <v>138</v>
      </c>
      <c r="K148">
        <v>38</v>
      </c>
      <c r="L148">
        <v>297</v>
      </c>
      <c r="O148" s="1" t="str">
        <f t="shared" si="8"/>
        <v/>
      </c>
      <c r="P148" s="1">
        <f>ROUND((E148*Tidbruk!$J$1)+(G148*Tidbruk!$J$2),0)</f>
        <v>1476</v>
      </c>
      <c r="Q148" s="4">
        <f t="shared" si="9"/>
        <v>25</v>
      </c>
      <c r="R148" s="1">
        <f t="shared" si="10"/>
        <v>4</v>
      </c>
      <c r="S148" s="1">
        <f t="shared" si="11"/>
        <v>1.4792899408284023E-2</v>
      </c>
    </row>
    <row r="149" spans="1:19">
      <c r="A149">
        <v>31</v>
      </c>
      <c r="B149" t="s">
        <v>90</v>
      </c>
      <c r="C149">
        <v>3411</v>
      </c>
      <c r="D149" t="s">
        <v>179</v>
      </c>
      <c r="E149">
        <v>1796.16</v>
      </c>
      <c r="F149">
        <v>47</v>
      </c>
      <c r="G149">
        <v>1123</v>
      </c>
      <c r="H149">
        <v>35911</v>
      </c>
      <c r="I149">
        <v>1.6</v>
      </c>
      <c r="J149">
        <v>163</v>
      </c>
      <c r="K149">
        <v>50</v>
      </c>
      <c r="L149">
        <v>271</v>
      </c>
      <c r="O149" s="1" t="str">
        <f t="shared" si="8"/>
        <v/>
      </c>
      <c r="P149" s="1">
        <f>ROUND((E149*Tidbruk!$J$1)+(G149*Tidbruk!$J$2),0)</f>
        <v>2354</v>
      </c>
      <c r="Q149" s="4">
        <f t="shared" si="9"/>
        <v>40</v>
      </c>
      <c r="R149" s="1">
        <f t="shared" si="10"/>
        <v>6</v>
      </c>
      <c r="S149" s="1">
        <f t="shared" si="11"/>
        <v>2.3668639053254437E-2</v>
      </c>
    </row>
    <row r="150" spans="1:19">
      <c r="A150">
        <v>34</v>
      </c>
      <c r="B150" t="s">
        <v>25</v>
      </c>
      <c r="C150">
        <v>3412</v>
      </c>
      <c r="D150" t="s">
        <v>180</v>
      </c>
      <c r="E150">
        <v>463.16</v>
      </c>
      <c r="F150">
        <v>266</v>
      </c>
      <c r="G150">
        <v>362</v>
      </c>
      <c r="H150">
        <v>7931</v>
      </c>
      <c r="I150">
        <v>1.28</v>
      </c>
      <c r="J150">
        <v>207</v>
      </c>
      <c r="K150">
        <v>58</v>
      </c>
      <c r="L150">
        <v>266</v>
      </c>
      <c r="O150" s="1" t="str">
        <f t="shared" si="8"/>
        <v/>
      </c>
      <c r="P150" s="1">
        <f>ROUND((E150*Tidbruk!$J$1)+(G150*Tidbruk!$J$2),0)</f>
        <v>654</v>
      </c>
      <c r="Q150" s="4">
        <f t="shared" si="9"/>
        <v>11</v>
      </c>
      <c r="R150" s="1">
        <f t="shared" si="10"/>
        <v>2</v>
      </c>
      <c r="S150" s="1">
        <f t="shared" si="11"/>
        <v>6.5088757396449702E-3</v>
      </c>
    </row>
    <row r="151" spans="1:19">
      <c r="A151">
        <v>46</v>
      </c>
      <c r="B151" t="s">
        <v>32</v>
      </c>
      <c r="C151">
        <v>3413</v>
      </c>
      <c r="D151" t="s">
        <v>181</v>
      </c>
      <c r="E151">
        <v>1098.96</v>
      </c>
      <c r="F151">
        <v>123</v>
      </c>
      <c r="G151">
        <v>641</v>
      </c>
      <c r="H151">
        <v>21691</v>
      </c>
      <c r="I151">
        <v>1.71</v>
      </c>
      <c r="J151">
        <v>150</v>
      </c>
      <c r="K151">
        <v>51</v>
      </c>
      <c r="L151">
        <v>270</v>
      </c>
      <c r="O151" s="1" t="str">
        <f t="shared" si="8"/>
        <v/>
      </c>
      <c r="P151" s="1">
        <f>ROUND((E151*Tidbruk!$J$1)+(G151*Tidbruk!$J$2),0)</f>
        <v>1410</v>
      </c>
      <c r="Q151" s="4">
        <f t="shared" si="9"/>
        <v>24</v>
      </c>
      <c r="R151" s="1">
        <f t="shared" si="10"/>
        <v>4</v>
      </c>
      <c r="S151" s="1">
        <f t="shared" si="11"/>
        <v>1.4201183431952662E-2</v>
      </c>
    </row>
    <row r="152" spans="1:19">
      <c r="A152">
        <v>39</v>
      </c>
      <c r="B152" t="s">
        <v>60</v>
      </c>
      <c r="C152">
        <v>3414</v>
      </c>
      <c r="D152" t="s">
        <v>182</v>
      </c>
      <c r="E152">
        <v>636.82000000000005</v>
      </c>
      <c r="F152">
        <v>226</v>
      </c>
      <c r="G152">
        <v>475</v>
      </c>
      <c r="H152">
        <v>5006</v>
      </c>
      <c r="I152">
        <v>1.34</v>
      </c>
      <c r="J152">
        <v>198</v>
      </c>
      <c r="K152">
        <v>127</v>
      </c>
      <c r="L152">
        <v>186</v>
      </c>
      <c r="O152" s="1" t="str">
        <f t="shared" si="8"/>
        <v/>
      </c>
      <c r="P152" s="1">
        <f>ROUND((E152*Tidbruk!$J$1)+(G152*Tidbruk!$J$2),0)</f>
        <v>885</v>
      </c>
      <c r="Q152" s="4">
        <f t="shared" si="9"/>
        <v>15</v>
      </c>
      <c r="R152" s="1">
        <f t="shared" si="10"/>
        <v>2</v>
      </c>
      <c r="S152" s="1">
        <f t="shared" si="11"/>
        <v>8.8757396449704144E-3</v>
      </c>
    </row>
    <row r="153" spans="1:19">
      <c r="A153">
        <v>46</v>
      </c>
      <c r="B153" t="s">
        <v>32</v>
      </c>
      <c r="C153">
        <v>3415</v>
      </c>
      <c r="D153" t="s">
        <v>183</v>
      </c>
      <c r="E153">
        <v>960.99</v>
      </c>
      <c r="F153">
        <v>157</v>
      </c>
      <c r="G153">
        <v>479</v>
      </c>
      <c r="H153">
        <v>8150</v>
      </c>
      <c r="I153">
        <v>2.0099999999999998</v>
      </c>
      <c r="J153">
        <v>125</v>
      </c>
      <c r="K153">
        <v>118</v>
      </c>
      <c r="L153">
        <v>197</v>
      </c>
      <c r="O153" s="1" t="str">
        <f t="shared" si="8"/>
        <v/>
      </c>
      <c r="P153" s="1">
        <f>ROUND((E153*Tidbruk!$J$1)+(G153*Tidbruk!$J$2),0)</f>
        <v>1180</v>
      </c>
      <c r="Q153" s="4">
        <f t="shared" si="9"/>
        <v>20</v>
      </c>
      <c r="R153" s="1">
        <f t="shared" si="10"/>
        <v>3</v>
      </c>
      <c r="S153" s="1">
        <f t="shared" si="11"/>
        <v>1.1834319526627219E-2</v>
      </c>
    </row>
    <row r="154" spans="1:19">
      <c r="A154">
        <v>34</v>
      </c>
      <c r="B154" t="s">
        <v>25</v>
      </c>
      <c r="C154">
        <v>3416</v>
      </c>
      <c r="D154" t="s">
        <v>184</v>
      </c>
      <c r="E154">
        <v>970.57</v>
      </c>
      <c r="F154">
        <v>153</v>
      </c>
      <c r="G154">
        <v>603</v>
      </c>
      <c r="H154">
        <v>6059</v>
      </c>
      <c r="I154">
        <v>1.61</v>
      </c>
      <c r="J154">
        <v>162</v>
      </c>
      <c r="K154">
        <v>160</v>
      </c>
      <c r="L154">
        <v>160</v>
      </c>
      <c r="O154" s="1" t="str">
        <f t="shared" si="8"/>
        <v/>
      </c>
      <c r="P154" s="1">
        <f>ROUND((E154*Tidbruk!$J$1)+(G154*Tidbruk!$J$2),0)</f>
        <v>1269</v>
      </c>
      <c r="Q154" s="4">
        <f t="shared" si="9"/>
        <v>22</v>
      </c>
      <c r="R154" s="1">
        <f t="shared" si="10"/>
        <v>3</v>
      </c>
      <c r="S154" s="1">
        <f t="shared" si="11"/>
        <v>1.301775147928994E-2</v>
      </c>
    </row>
    <row r="155" spans="1:19">
      <c r="A155">
        <v>40</v>
      </c>
      <c r="B155" t="s">
        <v>39</v>
      </c>
      <c r="C155">
        <v>3417</v>
      </c>
      <c r="D155" t="s">
        <v>185</v>
      </c>
      <c r="E155">
        <v>868.74</v>
      </c>
      <c r="F155">
        <v>176</v>
      </c>
      <c r="G155">
        <v>777</v>
      </c>
      <c r="H155">
        <v>4513</v>
      </c>
      <c r="I155">
        <v>1.1200000000000001</v>
      </c>
      <c r="J155">
        <v>226</v>
      </c>
      <c r="K155">
        <v>192</v>
      </c>
      <c r="L155">
        <v>144</v>
      </c>
      <c r="O155" s="1" t="str">
        <f t="shared" si="8"/>
        <v/>
      </c>
      <c r="P155" s="1">
        <f>ROUND((E155*Tidbruk!$J$1)+(G155*Tidbruk!$J$2),0)</f>
        <v>1291</v>
      </c>
      <c r="Q155" s="4">
        <f t="shared" si="9"/>
        <v>22</v>
      </c>
      <c r="R155" s="1">
        <f t="shared" si="10"/>
        <v>3</v>
      </c>
      <c r="S155" s="1">
        <f t="shared" si="11"/>
        <v>1.301775147928994E-2</v>
      </c>
    </row>
    <row r="156" spans="1:19">
      <c r="A156">
        <v>34</v>
      </c>
      <c r="B156" t="s">
        <v>25</v>
      </c>
      <c r="C156">
        <v>3418</v>
      </c>
      <c r="D156" t="s">
        <v>186</v>
      </c>
      <c r="E156">
        <v>967.29</v>
      </c>
      <c r="F156">
        <v>155</v>
      </c>
      <c r="G156">
        <v>1004</v>
      </c>
      <c r="H156">
        <v>7247</v>
      </c>
      <c r="I156">
        <v>0.96</v>
      </c>
      <c r="J156">
        <v>257</v>
      </c>
      <c r="K156">
        <v>133</v>
      </c>
      <c r="L156">
        <v>179</v>
      </c>
      <c r="O156" s="1" t="str">
        <f t="shared" si="8"/>
        <v/>
      </c>
      <c r="P156" s="1">
        <f>ROUND((E156*Tidbruk!$J$1)+(G156*Tidbruk!$J$2),0)</f>
        <v>1528</v>
      </c>
      <c r="Q156" s="4">
        <f t="shared" si="9"/>
        <v>26</v>
      </c>
      <c r="R156" s="1">
        <f t="shared" si="10"/>
        <v>4</v>
      </c>
      <c r="S156" s="1">
        <f t="shared" si="11"/>
        <v>1.5384615384615385E-2</v>
      </c>
    </row>
    <row r="157" spans="1:19">
      <c r="A157">
        <v>34</v>
      </c>
      <c r="B157" t="s">
        <v>25</v>
      </c>
      <c r="C157">
        <v>3419</v>
      </c>
      <c r="D157" t="s">
        <v>130</v>
      </c>
      <c r="E157">
        <v>939.14</v>
      </c>
      <c r="F157">
        <v>161</v>
      </c>
      <c r="G157">
        <v>678</v>
      </c>
      <c r="H157">
        <v>3559</v>
      </c>
      <c r="I157">
        <v>1.39</v>
      </c>
      <c r="J157">
        <v>192</v>
      </c>
      <c r="K157">
        <v>264</v>
      </c>
      <c r="L157">
        <v>115</v>
      </c>
      <c r="O157" s="1" t="str">
        <f t="shared" si="8"/>
        <v/>
      </c>
      <c r="P157" s="1">
        <f>ROUND((E157*Tidbruk!$J$1)+(G157*Tidbruk!$J$2),0)</f>
        <v>1290</v>
      </c>
      <c r="Q157" s="4">
        <f t="shared" si="9"/>
        <v>22</v>
      </c>
      <c r="R157" s="1">
        <f t="shared" si="10"/>
        <v>3</v>
      </c>
      <c r="S157" s="1">
        <f t="shared" si="11"/>
        <v>1.301775147928994E-2</v>
      </c>
    </row>
    <row r="158" spans="1:19">
      <c r="A158">
        <v>34</v>
      </c>
      <c r="B158" t="s">
        <v>25</v>
      </c>
      <c r="C158">
        <v>3420</v>
      </c>
      <c r="D158" t="s">
        <v>187</v>
      </c>
      <c r="E158">
        <v>2046.99</v>
      </c>
      <c r="F158">
        <v>36</v>
      </c>
      <c r="G158">
        <v>1209</v>
      </c>
      <c r="H158">
        <v>21899</v>
      </c>
      <c r="I158">
        <v>1.69</v>
      </c>
      <c r="J158">
        <v>156</v>
      </c>
      <c r="K158">
        <v>93</v>
      </c>
      <c r="L158">
        <v>223</v>
      </c>
      <c r="O158" s="1" t="str">
        <f t="shared" si="8"/>
        <v/>
      </c>
      <c r="P158" s="1">
        <f>ROUND((E158*Tidbruk!$J$1)+(G158*Tidbruk!$J$2),0)</f>
        <v>2637</v>
      </c>
      <c r="Q158" s="4">
        <f t="shared" si="9"/>
        <v>44</v>
      </c>
      <c r="R158" s="1">
        <f t="shared" si="10"/>
        <v>6</v>
      </c>
      <c r="S158" s="1">
        <f t="shared" si="11"/>
        <v>2.6035502958579881E-2</v>
      </c>
    </row>
    <row r="159" spans="1:19">
      <c r="A159">
        <v>40</v>
      </c>
      <c r="B159" t="s">
        <v>39</v>
      </c>
      <c r="C159">
        <v>3421</v>
      </c>
      <c r="D159" t="s">
        <v>188</v>
      </c>
      <c r="E159">
        <v>3173.77</v>
      </c>
      <c r="F159">
        <v>5</v>
      </c>
      <c r="G159">
        <v>2941</v>
      </c>
      <c r="H159">
        <v>6542</v>
      </c>
      <c r="I159">
        <v>1.08</v>
      </c>
      <c r="J159">
        <v>234</v>
      </c>
      <c r="K159">
        <v>485</v>
      </c>
      <c r="L159">
        <v>53</v>
      </c>
      <c r="O159" s="1" t="str">
        <f t="shared" si="8"/>
        <v/>
      </c>
      <c r="P159" s="1">
        <f>ROUND((E159*Tidbruk!$J$1)+(G159*Tidbruk!$J$2),0)</f>
        <v>4782</v>
      </c>
      <c r="Q159" s="4">
        <f t="shared" si="9"/>
        <v>80</v>
      </c>
      <c r="R159" s="1">
        <f t="shared" si="10"/>
        <v>11</v>
      </c>
      <c r="S159" s="1">
        <f t="shared" si="11"/>
        <v>4.7337278106508875E-2</v>
      </c>
    </row>
    <row r="160" spans="1:19">
      <c r="A160">
        <v>46</v>
      </c>
      <c r="B160" t="s">
        <v>32</v>
      </c>
      <c r="C160">
        <v>3422</v>
      </c>
      <c r="D160" t="s">
        <v>189</v>
      </c>
      <c r="E160">
        <v>1496.86</v>
      </c>
      <c r="F160">
        <v>66</v>
      </c>
      <c r="G160">
        <v>1293</v>
      </c>
      <c r="H160">
        <v>4205</v>
      </c>
      <c r="I160">
        <v>1.1599999999999999</v>
      </c>
      <c r="J160">
        <v>223</v>
      </c>
      <c r="K160">
        <v>356</v>
      </c>
      <c r="L160">
        <v>86</v>
      </c>
      <c r="O160" s="1" t="str">
        <f t="shared" si="8"/>
        <v/>
      </c>
      <c r="P160" s="1">
        <f>ROUND((E160*Tidbruk!$J$1)+(G160*Tidbruk!$J$2),0)</f>
        <v>2194</v>
      </c>
      <c r="Q160" s="4">
        <f t="shared" si="9"/>
        <v>37</v>
      </c>
      <c r="R160" s="1">
        <f t="shared" si="10"/>
        <v>5</v>
      </c>
      <c r="S160" s="1">
        <f t="shared" si="11"/>
        <v>2.1893491124260357E-2</v>
      </c>
    </row>
    <row r="161" spans="1:19">
      <c r="A161">
        <v>46</v>
      </c>
      <c r="B161" t="s">
        <v>32</v>
      </c>
      <c r="C161">
        <v>3423</v>
      </c>
      <c r="D161" t="s">
        <v>190</v>
      </c>
      <c r="E161">
        <v>2621.48</v>
      </c>
      <c r="F161">
        <v>13</v>
      </c>
      <c r="G161">
        <v>2127</v>
      </c>
      <c r="H161">
        <v>2250</v>
      </c>
      <c r="I161">
        <v>1.23</v>
      </c>
      <c r="J161">
        <v>215</v>
      </c>
      <c r="K161">
        <v>1165</v>
      </c>
      <c r="L161">
        <v>8</v>
      </c>
      <c r="O161" s="1" t="str">
        <f t="shared" si="8"/>
        <v/>
      </c>
      <c r="P161" s="1">
        <f>ROUND((E161*Tidbruk!$J$1)+(G161*Tidbruk!$J$2),0)</f>
        <v>3753</v>
      </c>
      <c r="Q161" s="4">
        <f t="shared" si="9"/>
        <v>63</v>
      </c>
      <c r="R161" s="1">
        <f t="shared" si="10"/>
        <v>9</v>
      </c>
      <c r="S161" s="1">
        <f t="shared" si="11"/>
        <v>3.7278106508875739E-2</v>
      </c>
    </row>
    <row r="162" spans="1:19">
      <c r="A162">
        <v>34</v>
      </c>
      <c r="B162" t="s">
        <v>25</v>
      </c>
      <c r="C162">
        <v>3424</v>
      </c>
      <c r="D162" t="s">
        <v>191</v>
      </c>
      <c r="E162">
        <v>3235.68</v>
      </c>
      <c r="F162">
        <v>4</v>
      </c>
      <c r="G162">
        <v>3061</v>
      </c>
      <c r="H162">
        <v>1846</v>
      </c>
      <c r="I162">
        <v>1.06</v>
      </c>
      <c r="J162">
        <v>239</v>
      </c>
      <c r="K162">
        <v>1753</v>
      </c>
      <c r="L162">
        <v>2</v>
      </c>
      <c r="O162" s="1" t="str">
        <f t="shared" si="8"/>
        <v/>
      </c>
      <c r="P162" s="1">
        <f>ROUND((E162*Tidbruk!$J$1)+(G162*Tidbruk!$J$2),0)</f>
        <v>4916</v>
      </c>
      <c r="Q162" s="4">
        <f t="shared" si="9"/>
        <v>82</v>
      </c>
      <c r="R162" s="1">
        <f t="shared" si="10"/>
        <v>11</v>
      </c>
      <c r="S162" s="1">
        <f t="shared" si="11"/>
        <v>4.85207100591716E-2</v>
      </c>
    </row>
    <row r="163" spans="1:19">
      <c r="A163">
        <v>42</v>
      </c>
      <c r="B163" t="s">
        <v>28</v>
      </c>
      <c r="C163">
        <v>3425</v>
      </c>
      <c r="D163" t="s">
        <v>192</v>
      </c>
      <c r="E163">
        <v>1647.08</v>
      </c>
      <c r="F163">
        <v>58</v>
      </c>
      <c r="G163">
        <v>1916</v>
      </c>
      <c r="H163">
        <v>1326</v>
      </c>
      <c r="I163">
        <v>0.86</v>
      </c>
      <c r="J163">
        <v>273</v>
      </c>
      <c r="K163">
        <v>1242</v>
      </c>
      <c r="L163">
        <v>4</v>
      </c>
      <c r="O163" s="1" t="str">
        <f t="shared" si="8"/>
        <v/>
      </c>
      <c r="P163" s="1">
        <f>ROUND((E163*Tidbruk!$J$1)+(G163*Tidbruk!$J$2),0)</f>
        <v>2735</v>
      </c>
      <c r="Q163" s="4">
        <f t="shared" si="9"/>
        <v>46</v>
      </c>
      <c r="R163" s="1">
        <f t="shared" si="10"/>
        <v>7</v>
      </c>
      <c r="S163" s="1">
        <f t="shared" si="11"/>
        <v>2.7218934911242602E-2</v>
      </c>
    </row>
    <row r="164" spans="1:19">
      <c r="A164">
        <v>46</v>
      </c>
      <c r="B164" t="s">
        <v>32</v>
      </c>
      <c r="C164">
        <v>3426</v>
      </c>
      <c r="D164" t="s">
        <v>193</v>
      </c>
      <c r="E164">
        <v>1747.4</v>
      </c>
      <c r="F164">
        <v>48</v>
      </c>
      <c r="G164">
        <v>1097</v>
      </c>
      <c r="H164">
        <v>1606</v>
      </c>
      <c r="I164">
        <v>1.59</v>
      </c>
      <c r="J164">
        <v>166</v>
      </c>
      <c r="K164">
        <v>1088</v>
      </c>
      <c r="L164">
        <v>10</v>
      </c>
      <c r="O164" s="1" t="str">
        <f t="shared" si="8"/>
        <v/>
      </c>
      <c r="P164" s="1">
        <f>ROUND((E164*Tidbruk!$J$1)+(G164*Tidbruk!$J$2),0)</f>
        <v>2293</v>
      </c>
      <c r="Q164" s="4">
        <f t="shared" si="9"/>
        <v>39</v>
      </c>
      <c r="R164" s="1">
        <f t="shared" si="10"/>
        <v>6</v>
      </c>
      <c r="S164" s="1">
        <f t="shared" si="11"/>
        <v>2.3076923076923078E-2</v>
      </c>
    </row>
    <row r="165" spans="1:19">
      <c r="A165">
        <v>34</v>
      </c>
      <c r="B165" t="s">
        <v>25</v>
      </c>
      <c r="C165">
        <v>3427</v>
      </c>
      <c r="D165" t="s">
        <v>194</v>
      </c>
      <c r="E165">
        <v>2278.6999999999998</v>
      </c>
      <c r="F165">
        <v>24</v>
      </c>
      <c r="G165">
        <v>1822</v>
      </c>
      <c r="H165">
        <v>5722</v>
      </c>
      <c r="I165">
        <v>1.25</v>
      </c>
      <c r="J165">
        <v>212</v>
      </c>
      <c r="K165">
        <v>398</v>
      </c>
      <c r="L165">
        <v>68</v>
      </c>
      <c r="O165" s="1" t="str">
        <f t="shared" si="8"/>
        <v/>
      </c>
      <c r="P165" s="1">
        <f>ROUND((E165*Tidbruk!$J$1)+(G165*Tidbruk!$J$2),0)</f>
        <v>3245</v>
      </c>
      <c r="Q165" s="4">
        <f t="shared" si="9"/>
        <v>55</v>
      </c>
      <c r="R165" s="1">
        <f t="shared" si="10"/>
        <v>8</v>
      </c>
      <c r="S165" s="1">
        <f t="shared" si="11"/>
        <v>3.2544378698224852E-2</v>
      </c>
    </row>
    <row r="166" spans="1:19">
      <c r="A166">
        <v>33</v>
      </c>
      <c r="B166" t="s">
        <v>23</v>
      </c>
      <c r="C166">
        <v>3428</v>
      </c>
      <c r="D166" t="s">
        <v>195</v>
      </c>
      <c r="E166">
        <v>2111.75</v>
      </c>
      <c r="F166">
        <v>32</v>
      </c>
      <c r="G166">
        <v>919</v>
      </c>
      <c r="H166">
        <v>2509</v>
      </c>
      <c r="I166">
        <v>2.2999999999999998</v>
      </c>
      <c r="J166">
        <v>95</v>
      </c>
      <c r="K166">
        <v>842</v>
      </c>
      <c r="L166">
        <v>16</v>
      </c>
      <c r="O166" s="1" t="str">
        <f t="shared" si="8"/>
        <v/>
      </c>
      <c r="P166" s="1">
        <f>ROUND((E166*Tidbruk!$J$1)+(G166*Tidbruk!$J$2),0)</f>
        <v>2506</v>
      </c>
      <c r="Q166" s="4">
        <f t="shared" si="9"/>
        <v>42</v>
      </c>
      <c r="R166" s="1">
        <f t="shared" si="10"/>
        <v>6</v>
      </c>
      <c r="S166" s="1">
        <f t="shared" si="11"/>
        <v>2.4852071005917159E-2</v>
      </c>
    </row>
    <row r="167" spans="1:19">
      <c r="A167">
        <v>50</v>
      </c>
      <c r="B167" t="s">
        <v>21</v>
      </c>
      <c r="C167">
        <v>3429</v>
      </c>
      <c r="D167" t="s">
        <v>196</v>
      </c>
      <c r="E167">
        <v>1852.43</v>
      </c>
      <c r="F167">
        <v>44</v>
      </c>
      <c r="G167">
        <v>1260</v>
      </c>
      <c r="H167">
        <v>1540</v>
      </c>
      <c r="I167">
        <v>1.47</v>
      </c>
      <c r="J167">
        <v>177</v>
      </c>
      <c r="K167">
        <v>1203</v>
      </c>
      <c r="L167">
        <v>5</v>
      </c>
      <c r="O167" s="1" t="str">
        <f t="shared" si="8"/>
        <v/>
      </c>
      <c r="P167" s="1">
        <f>ROUND((E167*Tidbruk!$J$1)+(G167*Tidbruk!$J$2),0)</f>
        <v>2494</v>
      </c>
      <c r="Q167" s="4">
        <f t="shared" si="9"/>
        <v>42</v>
      </c>
      <c r="R167" s="1">
        <f t="shared" si="10"/>
        <v>6</v>
      </c>
      <c r="S167" s="1">
        <f t="shared" si="11"/>
        <v>2.4852071005917159E-2</v>
      </c>
    </row>
    <row r="168" spans="1:19">
      <c r="A168">
        <v>50</v>
      </c>
      <c r="B168" t="s">
        <v>21</v>
      </c>
      <c r="C168">
        <v>3430</v>
      </c>
      <c r="D168" t="s">
        <v>197</v>
      </c>
      <c r="E168">
        <v>984.16</v>
      </c>
      <c r="F168">
        <v>149</v>
      </c>
      <c r="G168">
        <v>1007</v>
      </c>
      <c r="H168">
        <v>1895</v>
      </c>
      <c r="I168">
        <v>0.98</v>
      </c>
      <c r="J168">
        <v>252</v>
      </c>
      <c r="K168">
        <v>519</v>
      </c>
      <c r="L168">
        <v>44</v>
      </c>
      <c r="O168" s="1" t="str">
        <f t="shared" si="8"/>
        <v/>
      </c>
      <c r="P168" s="1">
        <f>ROUND((E168*Tidbruk!$J$1)+(G168*Tidbruk!$J$2),0)</f>
        <v>1545</v>
      </c>
      <c r="Q168" s="4">
        <f t="shared" si="9"/>
        <v>26</v>
      </c>
      <c r="R168" s="1">
        <f t="shared" si="10"/>
        <v>4</v>
      </c>
      <c r="S168" s="1">
        <f t="shared" si="11"/>
        <v>1.5384615384615385E-2</v>
      </c>
    </row>
    <row r="169" spans="1:19">
      <c r="A169">
        <v>42</v>
      </c>
      <c r="B169" t="s">
        <v>28</v>
      </c>
      <c r="C169">
        <v>3431</v>
      </c>
      <c r="D169" t="s">
        <v>198</v>
      </c>
      <c r="E169">
        <v>1733.34</v>
      </c>
      <c r="F169">
        <v>50</v>
      </c>
      <c r="G169">
        <v>1349</v>
      </c>
      <c r="H169">
        <v>2516</v>
      </c>
      <c r="I169">
        <v>1.28</v>
      </c>
      <c r="J169">
        <v>207</v>
      </c>
      <c r="K169">
        <v>689</v>
      </c>
      <c r="L169">
        <v>23</v>
      </c>
      <c r="O169" s="1" t="str">
        <f t="shared" si="8"/>
        <v/>
      </c>
      <c r="P169" s="1">
        <f>ROUND((E169*Tidbruk!$J$1)+(G169*Tidbruk!$J$2),0)</f>
        <v>2444</v>
      </c>
      <c r="Q169" s="4">
        <f t="shared" si="9"/>
        <v>41</v>
      </c>
      <c r="R169" s="1">
        <f t="shared" si="10"/>
        <v>6</v>
      </c>
      <c r="S169" s="1">
        <f t="shared" si="11"/>
        <v>2.42603550295858E-2</v>
      </c>
    </row>
    <row r="170" spans="1:19">
      <c r="A170">
        <v>40</v>
      </c>
      <c r="B170" t="s">
        <v>39</v>
      </c>
      <c r="C170">
        <v>3432</v>
      </c>
      <c r="D170" t="s">
        <v>199</v>
      </c>
      <c r="E170">
        <v>1355.25</v>
      </c>
      <c r="F170">
        <v>80</v>
      </c>
      <c r="G170">
        <v>2167</v>
      </c>
      <c r="H170">
        <v>2006</v>
      </c>
      <c r="I170">
        <v>0.63</v>
      </c>
      <c r="J170">
        <v>309</v>
      </c>
      <c r="K170">
        <v>676</v>
      </c>
      <c r="L170">
        <v>24</v>
      </c>
      <c r="O170" s="1" t="str">
        <f t="shared" si="8"/>
        <v/>
      </c>
      <c r="P170" s="1">
        <f>ROUND((E170*Tidbruk!$J$1)+(G170*Tidbruk!$J$2),0)</f>
        <v>2635</v>
      </c>
      <c r="Q170" s="4">
        <f t="shared" si="9"/>
        <v>44</v>
      </c>
      <c r="R170" s="1">
        <f t="shared" si="10"/>
        <v>6</v>
      </c>
      <c r="S170" s="1">
        <f t="shared" si="11"/>
        <v>2.6035502958579881E-2</v>
      </c>
    </row>
    <row r="171" spans="1:19">
      <c r="A171">
        <v>55</v>
      </c>
      <c r="B171" t="s">
        <v>44</v>
      </c>
      <c r="C171">
        <v>3433</v>
      </c>
      <c r="D171" t="s">
        <v>200</v>
      </c>
      <c r="E171">
        <v>1090.5999999999999</v>
      </c>
      <c r="F171">
        <v>125</v>
      </c>
      <c r="G171">
        <v>1965</v>
      </c>
      <c r="H171">
        <v>2179</v>
      </c>
      <c r="I171">
        <v>0.56000000000000005</v>
      </c>
      <c r="J171">
        <v>318</v>
      </c>
      <c r="K171">
        <v>501</v>
      </c>
      <c r="L171">
        <v>51</v>
      </c>
      <c r="O171" s="1" t="str">
        <f t="shared" si="8"/>
        <v/>
      </c>
      <c r="P171" s="1">
        <f>ROUND((E171*Tidbruk!$J$1)+(G171*Tidbruk!$J$2),0)</f>
        <v>2265</v>
      </c>
      <c r="Q171" s="4">
        <f t="shared" si="9"/>
        <v>38</v>
      </c>
      <c r="R171" s="1">
        <f t="shared" si="10"/>
        <v>6</v>
      </c>
      <c r="S171" s="1">
        <f t="shared" si="11"/>
        <v>2.2485207100591716E-2</v>
      </c>
    </row>
    <row r="172" spans="1:19">
      <c r="A172">
        <v>11</v>
      </c>
      <c r="B172" t="s">
        <v>82</v>
      </c>
      <c r="C172">
        <v>3434</v>
      </c>
      <c r="D172" t="s">
        <v>201</v>
      </c>
      <c r="E172">
        <v>1229.92</v>
      </c>
      <c r="F172">
        <v>103</v>
      </c>
      <c r="G172">
        <v>1887</v>
      </c>
      <c r="H172">
        <v>2215</v>
      </c>
      <c r="I172">
        <v>0.65</v>
      </c>
      <c r="J172">
        <v>306</v>
      </c>
      <c r="K172">
        <v>555</v>
      </c>
      <c r="L172">
        <v>40</v>
      </c>
      <c r="O172" s="1" t="str">
        <f t="shared" si="8"/>
        <v/>
      </c>
      <c r="P172" s="1">
        <f>ROUND((E172*Tidbruk!$J$1)+(G172*Tidbruk!$J$2),0)</f>
        <v>2340</v>
      </c>
      <c r="Q172" s="4">
        <f t="shared" si="9"/>
        <v>39</v>
      </c>
      <c r="R172" s="1">
        <f t="shared" si="10"/>
        <v>6</v>
      </c>
      <c r="S172" s="1">
        <f t="shared" si="11"/>
        <v>2.3076923076923078E-2</v>
      </c>
    </row>
    <row r="173" spans="1:19">
      <c r="A173">
        <v>11</v>
      </c>
      <c r="B173" t="s">
        <v>82</v>
      </c>
      <c r="C173">
        <v>3435</v>
      </c>
      <c r="D173" t="s">
        <v>202</v>
      </c>
      <c r="E173">
        <v>1743.14</v>
      </c>
      <c r="F173">
        <v>49</v>
      </c>
      <c r="G173">
        <v>1252</v>
      </c>
      <c r="H173">
        <v>3529</v>
      </c>
      <c r="I173">
        <v>1.39</v>
      </c>
      <c r="J173">
        <v>192</v>
      </c>
      <c r="K173">
        <v>494</v>
      </c>
      <c r="L173">
        <v>52</v>
      </c>
      <c r="O173" s="1" t="str">
        <f t="shared" si="8"/>
        <v/>
      </c>
      <c r="P173" s="1">
        <f>ROUND((E173*Tidbruk!$J$1)+(G173*Tidbruk!$J$2),0)</f>
        <v>2390</v>
      </c>
      <c r="Q173" s="4">
        <f t="shared" si="9"/>
        <v>40</v>
      </c>
      <c r="R173" s="1">
        <f t="shared" si="10"/>
        <v>6</v>
      </c>
      <c r="S173" s="1">
        <f t="shared" si="11"/>
        <v>2.3668639053254437E-2</v>
      </c>
    </row>
    <row r="174" spans="1:19">
      <c r="A174">
        <v>11</v>
      </c>
      <c r="B174" t="s">
        <v>82</v>
      </c>
      <c r="C174">
        <v>3436</v>
      </c>
      <c r="D174" t="s">
        <v>203</v>
      </c>
      <c r="E174">
        <v>1952.39</v>
      </c>
      <c r="F174">
        <v>41</v>
      </c>
      <c r="G174">
        <v>1092</v>
      </c>
      <c r="H174">
        <v>5553</v>
      </c>
      <c r="I174">
        <v>1.79</v>
      </c>
      <c r="J174">
        <v>145</v>
      </c>
      <c r="K174">
        <v>352</v>
      </c>
      <c r="L174">
        <v>87</v>
      </c>
      <c r="O174" s="1" t="str">
        <f t="shared" si="8"/>
        <v/>
      </c>
      <c r="P174" s="1">
        <f>ROUND((E174*Tidbruk!$J$1)+(G174*Tidbruk!$J$2),0)</f>
        <v>2475</v>
      </c>
      <c r="Q174" s="4">
        <f t="shared" si="9"/>
        <v>42</v>
      </c>
      <c r="R174" s="1">
        <f t="shared" si="10"/>
        <v>6</v>
      </c>
      <c r="S174" s="1">
        <f t="shared" si="11"/>
        <v>2.4852071005917159E-2</v>
      </c>
    </row>
    <row r="175" spans="1:19">
      <c r="A175">
        <v>15</v>
      </c>
      <c r="B175" t="s">
        <v>94</v>
      </c>
      <c r="C175">
        <v>3437</v>
      </c>
      <c r="D175" t="s">
        <v>204</v>
      </c>
      <c r="E175">
        <v>2052.21</v>
      </c>
      <c r="F175">
        <v>35</v>
      </c>
      <c r="G175">
        <v>888</v>
      </c>
      <c r="H175">
        <v>5623</v>
      </c>
      <c r="I175">
        <v>2.31</v>
      </c>
      <c r="J175">
        <v>93</v>
      </c>
      <c r="K175">
        <v>365</v>
      </c>
      <c r="L175">
        <v>79</v>
      </c>
      <c r="O175" s="1" t="str">
        <f t="shared" si="8"/>
        <v/>
      </c>
      <c r="P175" s="1">
        <f>ROUND((E175*Tidbruk!$J$1)+(G175*Tidbruk!$J$2),0)</f>
        <v>2432</v>
      </c>
      <c r="Q175" s="4">
        <f t="shared" si="9"/>
        <v>41</v>
      </c>
      <c r="R175" s="1">
        <f t="shared" si="10"/>
        <v>6</v>
      </c>
      <c r="S175" s="1">
        <f t="shared" si="11"/>
        <v>2.42603550295858E-2</v>
      </c>
    </row>
    <row r="176" spans="1:19">
      <c r="A176">
        <v>18</v>
      </c>
      <c r="B176" t="s">
        <v>73</v>
      </c>
      <c r="C176">
        <v>3438</v>
      </c>
      <c r="D176" t="s">
        <v>205</v>
      </c>
      <c r="E176">
        <v>1345.17</v>
      </c>
      <c r="F176">
        <v>85</v>
      </c>
      <c r="G176">
        <v>712</v>
      </c>
      <c r="H176">
        <v>3128</v>
      </c>
      <c r="I176">
        <v>1.89</v>
      </c>
      <c r="J176">
        <v>137</v>
      </c>
      <c r="K176">
        <v>430</v>
      </c>
      <c r="L176">
        <v>63</v>
      </c>
      <c r="O176" s="1" t="str">
        <f t="shared" si="8"/>
        <v/>
      </c>
      <c r="P176" s="1">
        <f>ROUND((E176*Tidbruk!$J$1)+(G176*Tidbruk!$J$2),0)</f>
        <v>1679</v>
      </c>
      <c r="Q176" s="4">
        <f t="shared" si="9"/>
        <v>28</v>
      </c>
      <c r="R176" s="1">
        <f t="shared" si="10"/>
        <v>4</v>
      </c>
      <c r="S176" s="1">
        <f t="shared" si="11"/>
        <v>1.6568047337278107E-2</v>
      </c>
    </row>
    <row r="177" spans="1:19">
      <c r="A177">
        <v>34</v>
      </c>
      <c r="B177" t="s">
        <v>25</v>
      </c>
      <c r="C177">
        <v>3439</v>
      </c>
      <c r="D177" t="s">
        <v>206</v>
      </c>
      <c r="E177">
        <v>2943.26</v>
      </c>
      <c r="F177">
        <v>7</v>
      </c>
      <c r="G177">
        <v>1221</v>
      </c>
      <c r="H177">
        <v>4447</v>
      </c>
      <c r="I177">
        <v>2.41</v>
      </c>
      <c r="J177">
        <v>86</v>
      </c>
      <c r="K177">
        <v>662</v>
      </c>
      <c r="L177">
        <v>26</v>
      </c>
      <c r="O177" s="1" t="str">
        <f t="shared" si="8"/>
        <v/>
      </c>
      <c r="P177" s="1">
        <f>ROUND((E177*Tidbruk!$J$1)+(G177*Tidbruk!$J$2),0)</f>
        <v>3454</v>
      </c>
      <c r="Q177" s="4">
        <f t="shared" si="9"/>
        <v>58</v>
      </c>
      <c r="R177" s="1">
        <f t="shared" si="10"/>
        <v>8</v>
      </c>
      <c r="S177" s="1">
        <f t="shared" si="11"/>
        <v>3.4319526627218933E-2</v>
      </c>
    </row>
    <row r="178" spans="1:19">
      <c r="A178">
        <v>15</v>
      </c>
      <c r="B178" t="s">
        <v>94</v>
      </c>
      <c r="C178">
        <v>3440</v>
      </c>
      <c r="D178" t="s">
        <v>207</v>
      </c>
      <c r="E178">
        <v>1668.43</v>
      </c>
      <c r="F178">
        <v>56</v>
      </c>
      <c r="G178">
        <v>616</v>
      </c>
      <c r="H178">
        <v>5134</v>
      </c>
      <c r="I178">
        <v>2.71</v>
      </c>
      <c r="J178">
        <v>62</v>
      </c>
      <c r="K178">
        <v>325</v>
      </c>
      <c r="L178">
        <v>97</v>
      </c>
      <c r="O178" s="1" t="str">
        <f t="shared" si="8"/>
        <v/>
      </c>
      <c r="P178" s="1">
        <f>ROUND((E178*Tidbruk!$J$1)+(G178*Tidbruk!$J$2),0)</f>
        <v>1908</v>
      </c>
      <c r="Q178" s="4">
        <f t="shared" si="9"/>
        <v>32</v>
      </c>
      <c r="R178" s="1">
        <f t="shared" si="10"/>
        <v>5</v>
      </c>
      <c r="S178" s="1">
        <f t="shared" si="11"/>
        <v>1.8934911242603551E-2</v>
      </c>
    </row>
    <row r="179" spans="1:19">
      <c r="A179">
        <v>46</v>
      </c>
      <c r="B179" t="s">
        <v>32</v>
      </c>
      <c r="C179">
        <v>3441</v>
      </c>
      <c r="D179" t="s">
        <v>208</v>
      </c>
      <c r="E179">
        <v>2242.52</v>
      </c>
      <c r="F179">
        <v>27</v>
      </c>
      <c r="G179">
        <v>1146</v>
      </c>
      <c r="H179">
        <v>6174</v>
      </c>
      <c r="I179">
        <v>1.96</v>
      </c>
      <c r="J179">
        <v>131</v>
      </c>
      <c r="K179">
        <v>363</v>
      </c>
      <c r="L179">
        <v>80</v>
      </c>
      <c r="O179" s="1" t="str">
        <f t="shared" si="8"/>
        <v/>
      </c>
      <c r="P179" s="1">
        <f>ROUND((E179*Tidbruk!$J$1)+(G179*Tidbruk!$J$2),0)</f>
        <v>2772</v>
      </c>
      <c r="Q179" s="4">
        <f t="shared" si="9"/>
        <v>47</v>
      </c>
      <c r="R179" s="1">
        <f t="shared" si="10"/>
        <v>7</v>
      </c>
      <c r="S179" s="1">
        <f t="shared" si="11"/>
        <v>2.7810650887573965E-2</v>
      </c>
    </row>
    <row r="180" spans="1:19">
      <c r="A180">
        <v>18</v>
      </c>
      <c r="B180" t="s">
        <v>73</v>
      </c>
      <c r="C180">
        <v>3442</v>
      </c>
      <c r="D180" t="s">
        <v>209</v>
      </c>
      <c r="E180">
        <v>964.03</v>
      </c>
      <c r="F180">
        <v>156</v>
      </c>
      <c r="G180">
        <v>485</v>
      </c>
      <c r="H180">
        <v>14827</v>
      </c>
      <c r="I180">
        <v>1.99</v>
      </c>
      <c r="J180">
        <v>128</v>
      </c>
      <c r="K180">
        <v>65</v>
      </c>
      <c r="L180">
        <v>259</v>
      </c>
      <c r="O180" s="1" t="str">
        <f t="shared" si="8"/>
        <v/>
      </c>
      <c r="P180" s="1">
        <f>ROUND((E180*Tidbruk!$J$1)+(G180*Tidbruk!$J$2),0)</f>
        <v>1187</v>
      </c>
      <c r="Q180" s="4">
        <f t="shared" si="9"/>
        <v>20</v>
      </c>
      <c r="R180" s="1">
        <f t="shared" si="10"/>
        <v>3</v>
      </c>
      <c r="S180" s="1">
        <f t="shared" si="11"/>
        <v>1.1834319526627219E-2</v>
      </c>
    </row>
    <row r="181" spans="1:19">
      <c r="A181">
        <v>33</v>
      </c>
      <c r="B181" t="s">
        <v>23</v>
      </c>
      <c r="C181">
        <v>3443</v>
      </c>
      <c r="D181" t="s">
        <v>210</v>
      </c>
      <c r="E181">
        <v>500.43</v>
      </c>
      <c r="F181">
        <v>252</v>
      </c>
      <c r="G181">
        <v>233</v>
      </c>
      <c r="H181">
        <v>13649</v>
      </c>
      <c r="I181">
        <v>2.15</v>
      </c>
      <c r="J181">
        <v>111</v>
      </c>
      <c r="K181">
        <v>37</v>
      </c>
      <c r="L181">
        <v>298</v>
      </c>
      <c r="O181" s="1" t="str">
        <f t="shared" si="8"/>
        <v/>
      </c>
      <c r="P181" s="1">
        <f>ROUND((E181*Tidbruk!$J$1)+(G181*Tidbruk!$J$2),0)</f>
        <v>604</v>
      </c>
      <c r="Q181" s="4">
        <f t="shared" si="9"/>
        <v>11</v>
      </c>
      <c r="R181" s="1">
        <f t="shared" si="10"/>
        <v>2</v>
      </c>
      <c r="S181" s="1">
        <f t="shared" si="11"/>
        <v>6.5088757396449702E-3</v>
      </c>
    </row>
    <row r="182" spans="1:19">
      <c r="A182">
        <v>33</v>
      </c>
      <c r="B182" t="s">
        <v>23</v>
      </c>
      <c r="C182">
        <v>3446</v>
      </c>
      <c r="D182" t="s">
        <v>211</v>
      </c>
      <c r="E182">
        <v>1181.75</v>
      </c>
      <c r="F182">
        <v>107</v>
      </c>
      <c r="G182">
        <v>657</v>
      </c>
      <c r="H182">
        <v>13660</v>
      </c>
      <c r="I182">
        <v>1.8</v>
      </c>
      <c r="J182">
        <v>144</v>
      </c>
      <c r="K182">
        <v>87</v>
      </c>
      <c r="L182">
        <v>232</v>
      </c>
      <c r="O182" s="1" t="str">
        <f t="shared" si="8"/>
        <v/>
      </c>
      <c r="P182" s="1">
        <f>ROUND((E182*Tidbruk!$J$1)+(G182*Tidbruk!$J$2),0)</f>
        <v>1495</v>
      </c>
      <c r="Q182" s="4">
        <f t="shared" si="9"/>
        <v>25</v>
      </c>
      <c r="R182" s="1">
        <f t="shared" si="10"/>
        <v>4</v>
      </c>
      <c r="S182" s="1">
        <f t="shared" si="11"/>
        <v>1.4792899408284023E-2</v>
      </c>
    </row>
    <row r="183" spans="1:19">
      <c r="A183">
        <v>15</v>
      </c>
      <c r="B183" t="s">
        <v>94</v>
      </c>
      <c r="C183">
        <v>3447</v>
      </c>
      <c r="D183" t="s">
        <v>212</v>
      </c>
      <c r="E183">
        <v>1261.3699999999999</v>
      </c>
      <c r="F183">
        <v>96</v>
      </c>
      <c r="G183">
        <v>659</v>
      </c>
      <c r="H183">
        <v>5597</v>
      </c>
      <c r="I183">
        <v>1.91</v>
      </c>
      <c r="J183">
        <v>136</v>
      </c>
      <c r="K183">
        <v>225</v>
      </c>
      <c r="L183">
        <v>133</v>
      </c>
      <c r="O183" s="1" t="str">
        <f t="shared" si="8"/>
        <v/>
      </c>
      <c r="P183" s="1">
        <f>ROUND((E183*Tidbruk!$J$1)+(G183*Tidbruk!$J$2),0)</f>
        <v>1569</v>
      </c>
      <c r="Q183" s="4">
        <f t="shared" si="9"/>
        <v>27</v>
      </c>
      <c r="R183" s="1">
        <f t="shared" si="10"/>
        <v>4</v>
      </c>
      <c r="S183" s="1">
        <f t="shared" si="11"/>
        <v>1.5976331360946745E-2</v>
      </c>
    </row>
    <row r="184" spans="1:19">
      <c r="A184">
        <v>50</v>
      </c>
      <c r="B184" t="s">
        <v>21</v>
      </c>
      <c r="C184">
        <v>3448</v>
      </c>
      <c r="D184" t="s">
        <v>213</v>
      </c>
      <c r="E184">
        <v>2265.4499999999998</v>
      </c>
      <c r="F184">
        <v>26</v>
      </c>
      <c r="G184">
        <v>920</v>
      </c>
      <c r="H184">
        <v>6544</v>
      </c>
      <c r="I184">
        <v>2.46</v>
      </c>
      <c r="J184">
        <v>82</v>
      </c>
      <c r="K184">
        <v>346</v>
      </c>
      <c r="L184">
        <v>91</v>
      </c>
      <c r="O184" s="1" t="str">
        <f t="shared" si="8"/>
        <v/>
      </c>
      <c r="P184" s="1">
        <f>ROUND((E184*Tidbruk!$J$1)+(G184*Tidbruk!$J$2),0)</f>
        <v>2646</v>
      </c>
      <c r="Q184" s="4">
        <f t="shared" si="9"/>
        <v>45</v>
      </c>
      <c r="R184" s="1">
        <f t="shared" si="10"/>
        <v>6</v>
      </c>
      <c r="S184" s="1">
        <f t="shared" si="11"/>
        <v>2.6627218934911243E-2</v>
      </c>
    </row>
    <row r="185" spans="1:19">
      <c r="A185">
        <v>32</v>
      </c>
      <c r="B185" t="s">
        <v>84</v>
      </c>
      <c r="C185">
        <v>3449</v>
      </c>
      <c r="D185" t="s">
        <v>214</v>
      </c>
      <c r="E185">
        <v>2160.85</v>
      </c>
      <c r="F185">
        <v>29</v>
      </c>
      <c r="G185">
        <v>1068</v>
      </c>
      <c r="H185">
        <v>2822</v>
      </c>
      <c r="I185">
        <v>2.02</v>
      </c>
      <c r="J185">
        <v>124</v>
      </c>
      <c r="K185">
        <v>766</v>
      </c>
      <c r="L185">
        <v>18</v>
      </c>
      <c r="O185" s="1" t="str">
        <f t="shared" si="8"/>
        <v/>
      </c>
      <c r="P185" s="1">
        <f>ROUND((E185*Tidbruk!$J$1)+(G185*Tidbruk!$J$2),0)</f>
        <v>2648</v>
      </c>
      <c r="Q185" s="4">
        <f t="shared" si="9"/>
        <v>45</v>
      </c>
      <c r="R185" s="1">
        <f t="shared" si="10"/>
        <v>6</v>
      </c>
      <c r="S185" s="1">
        <f t="shared" si="11"/>
        <v>2.6627218934911243E-2</v>
      </c>
    </row>
    <row r="186" spans="1:19">
      <c r="A186">
        <v>42</v>
      </c>
      <c r="B186" t="s">
        <v>28</v>
      </c>
      <c r="C186">
        <v>3450</v>
      </c>
      <c r="D186" t="s">
        <v>215</v>
      </c>
      <c r="E186">
        <v>929.71</v>
      </c>
      <c r="F186">
        <v>164</v>
      </c>
      <c r="G186">
        <v>443</v>
      </c>
      <c r="H186">
        <v>1254</v>
      </c>
      <c r="I186">
        <v>2.1</v>
      </c>
      <c r="J186">
        <v>115</v>
      </c>
      <c r="K186">
        <v>741</v>
      </c>
      <c r="L186">
        <v>21</v>
      </c>
      <c r="O186" s="1" t="str">
        <f t="shared" si="8"/>
        <v/>
      </c>
      <c r="P186" s="1">
        <f>ROUND((E186*Tidbruk!$J$1)+(G186*Tidbruk!$J$2),0)</f>
        <v>1128</v>
      </c>
      <c r="Q186" s="4">
        <f t="shared" si="9"/>
        <v>19</v>
      </c>
      <c r="R186" s="1">
        <f t="shared" si="10"/>
        <v>3</v>
      </c>
      <c r="S186" s="1">
        <f t="shared" si="11"/>
        <v>1.1242603550295858E-2</v>
      </c>
    </row>
    <row r="187" spans="1:19">
      <c r="A187">
        <v>33</v>
      </c>
      <c r="B187" t="s">
        <v>23</v>
      </c>
      <c r="C187">
        <v>3451</v>
      </c>
      <c r="D187" t="s">
        <v>216</v>
      </c>
      <c r="E187">
        <v>1959.26</v>
      </c>
      <c r="F187">
        <v>40</v>
      </c>
      <c r="G187">
        <v>849</v>
      </c>
      <c r="H187">
        <v>6455</v>
      </c>
      <c r="I187">
        <v>2.31</v>
      </c>
      <c r="J187">
        <v>93</v>
      </c>
      <c r="K187">
        <v>304</v>
      </c>
      <c r="L187">
        <v>101</v>
      </c>
      <c r="O187" s="1" t="str">
        <f t="shared" si="8"/>
        <v/>
      </c>
      <c r="P187" s="1">
        <f>ROUND((E187*Tidbruk!$J$1)+(G187*Tidbruk!$J$2),0)</f>
        <v>2323</v>
      </c>
      <c r="Q187" s="4">
        <f t="shared" si="9"/>
        <v>39</v>
      </c>
      <c r="R187" s="1">
        <f t="shared" si="10"/>
        <v>6</v>
      </c>
      <c r="S187" s="1">
        <f t="shared" si="11"/>
        <v>2.3076923076923078E-2</v>
      </c>
    </row>
    <row r="188" spans="1:19">
      <c r="A188">
        <v>42</v>
      </c>
      <c r="B188" t="s">
        <v>28</v>
      </c>
      <c r="C188">
        <v>3452</v>
      </c>
      <c r="D188" t="s">
        <v>217</v>
      </c>
      <c r="E188">
        <v>1298.8399999999999</v>
      </c>
      <c r="F188">
        <v>91</v>
      </c>
      <c r="G188">
        <v>415</v>
      </c>
      <c r="H188">
        <v>2142</v>
      </c>
      <c r="I188">
        <v>3.13</v>
      </c>
      <c r="J188">
        <v>38</v>
      </c>
      <c r="K188">
        <v>606</v>
      </c>
      <c r="L188">
        <v>34</v>
      </c>
      <c r="O188" s="1" t="str">
        <f t="shared" si="8"/>
        <v/>
      </c>
      <c r="P188" s="1">
        <f>ROUND((E188*Tidbruk!$J$1)+(G188*Tidbruk!$J$2),0)</f>
        <v>1444</v>
      </c>
      <c r="Q188" s="4">
        <f t="shared" si="9"/>
        <v>25</v>
      </c>
      <c r="R188" s="1">
        <f t="shared" si="10"/>
        <v>4</v>
      </c>
      <c r="S188" s="1">
        <f t="shared" si="11"/>
        <v>1.4792899408284023E-2</v>
      </c>
    </row>
    <row r="189" spans="1:19">
      <c r="A189">
        <v>50</v>
      </c>
      <c r="B189" t="s">
        <v>21</v>
      </c>
      <c r="C189">
        <v>3453</v>
      </c>
      <c r="D189" t="s">
        <v>218</v>
      </c>
      <c r="E189">
        <v>1273.3599999999999</v>
      </c>
      <c r="F189">
        <v>93</v>
      </c>
      <c r="G189">
        <v>886</v>
      </c>
      <c r="H189">
        <v>3311</v>
      </c>
      <c r="I189">
        <v>1.44</v>
      </c>
      <c r="J189">
        <v>184</v>
      </c>
      <c r="K189">
        <v>385</v>
      </c>
      <c r="L189">
        <v>71</v>
      </c>
      <c r="O189" s="1" t="str">
        <f t="shared" si="8"/>
        <v/>
      </c>
      <c r="P189" s="1">
        <f>ROUND((E189*Tidbruk!$J$1)+(G189*Tidbruk!$J$2),0)</f>
        <v>1727</v>
      </c>
      <c r="Q189" s="4">
        <f t="shared" si="9"/>
        <v>29</v>
      </c>
      <c r="R189" s="1">
        <f t="shared" si="10"/>
        <v>4</v>
      </c>
      <c r="S189" s="1">
        <f t="shared" si="11"/>
        <v>1.7159763313609466E-2</v>
      </c>
    </row>
    <row r="190" spans="1:19">
      <c r="A190">
        <v>46</v>
      </c>
      <c r="B190" t="s">
        <v>32</v>
      </c>
      <c r="C190">
        <v>3454</v>
      </c>
      <c r="D190" t="s">
        <v>219</v>
      </c>
      <c r="E190">
        <v>1422.38</v>
      </c>
      <c r="F190">
        <v>72</v>
      </c>
      <c r="G190">
        <v>1309</v>
      </c>
      <c r="H190">
        <v>1648</v>
      </c>
      <c r="I190">
        <v>1.0900000000000001</v>
      </c>
      <c r="J190">
        <v>232</v>
      </c>
      <c r="K190">
        <v>863</v>
      </c>
      <c r="L190">
        <v>15</v>
      </c>
      <c r="O190" s="1" t="str">
        <f t="shared" si="8"/>
        <v/>
      </c>
      <c r="P190" s="1">
        <f>ROUND((E190*Tidbruk!$J$1)+(G190*Tidbruk!$J$2),0)</f>
        <v>2137</v>
      </c>
      <c r="Q190" s="4">
        <f t="shared" si="9"/>
        <v>36</v>
      </c>
      <c r="R190" s="1">
        <f t="shared" si="10"/>
        <v>5</v>
      </c>
      <c r="S190" s="1">
        <f t="shared" si="11"/>
        <v>2.1301775147928994E-2</v>
      </c>
    </row>
    <row r="191" spans="1:19">
      <c r="A191">
        <v>15</v>
      </c>
      <c r="B191" t="s">
        <v>94</v>
      </c>
      <c r="C191">
        <v>3901</v>
      </c>
      <c r="D191" t="s">
        <v>220</v>
      </c>
      <c r="E191">
        <v>193.77</v>
      </c>
      <c r="F191">
        <v>336</v>
      </c>
      <c r="G191">
        <v>69</v>
      </c>
      <c r="H191">
        <v>28039</v>
      </c>
      <c r="I191">
        <v>2.81</v>
      </c>
      <c r="J191">
        <v>53</v>
      </c>
      <c r="K191">
        <v>7</v>
      </c>
      <c r="L191">
        <v>348</v>
      </c>
      <c r="O191" s="1" t="str">
        <f t="shared" si="8"/>
        <v/>
      </c>
      <c r="P191" s="1">
        <f>ROUND((E191*Tidbruk!$J$1)+(G191*Tidbruk!$J$2),0)</f>
        <v>220</v>
      </c>
      <c r="Q191" s="4">
        <f t="shared" si="9"/>
        <v>4</v>
      </c>
      <c r="R191" s="1">
        <f t="shared" si="10"/>
        <v>1</v>
      </c>
      <c r="S191" s="1">
        <f t="shared" si="11"/>
        <v>2.3668639053254438E-3</v>
      </c>
    </row>
    <row r="192" spans="1:19">
      <c r="A192">
        <v>11</v>
      </c>
      <c r="B192" t="s">
        <v>82</v>
      </c>
      <c r="C192">
        <v>3903</v>
      </c>
      <c r="D192" t="s">
        <v>221</v>
      </c>
      <c r="E192">
        <v>1155.1400000000001</v>
      </c>
      <c r="F192">
        <v>113</v>
      </c>
      <c r="G192">
        <v>412</v>
      </c>
      <c r="H192">
        <v>27005</v>
      </c>
      <c r="I192">
        <v>2.8</v>
      </c>
      <c r="J192">
        <v>54</v>
      </c>
      <c r="K192">
        <v>43</v>
      </c>
      <c r="L192">
        <v>286</v>
      </c>
      <c r="O192" s="1" t="str">
        <f t="shared" si="8"/>
        <v/>
      </c>
      <c r="P192" s="1">
        <f>ROUND((E192*Tidbruk!$J$1)+(G192*Tidbruk!$J$2),0)</f>
        <v>1312</v>
      </c>
      <c r="Q192" s="4">
        <f t="shared" si="9"/>
        <v>22</v>
      </c>
      <c r="R192" s="1">
        <f t="shared" si="10"/>
        <v>3</v>
      </c>
      <c r="S192" s="1">
        <f t="shared" si="11"/>
        <v>1.301775147928994E-2</v>
      </c>
    </row>
    <row r="193" spans="1:19">
      <c r="A193">
        <v>18</v>
      </c>
      <c r="B193" t="s">
        <v>73</v>
      </c>
      <c r="C193">
        <v>3905</v>
      </c>
      <c r="D193" t="s">
        <v>222</v>
      </c>
      <c r="E193">
        <v>975.43</v>
      </c>
      <c r="F193">
        <v>151</v>
      </c>
      <c r="G193">
        <v>326</v>
      </c>
      <c r="H193">
        <v>59830</v>
      </c>
      <c r="I193">
        <v>2.99</v>
      </c>
      <c r="J193">
        <v>43</v>
      </c>
      <c r="K193">
        <v>16</v>
      </c>
      <c r="L193">
        <v>330</v>
      </c>
      <c r="O193" s="1" t="str">
        <f t="shared" si="8"/>
        <v/>
      </c>
      <c r="P193" s="1">
        <f>ROUND((E193*Tidbruk!$J$1)+(G193*Tidbruk!$J$2),0)</f>
        <v>1094</v>
      </c>
      <c r="Q193" s="4">
        <f t="shared" si="9"/>
        <v>19</v>
      </c>
      <c r="R193" s="1">
        <f t="shared" si="10"/>
        <v>3</v>
      </c>
      <c r="S193" s="1">
        <f t="shared" si="11"/>
        <v>1.1242603550295858E-2</v>
      </c>
    </row>
    <row r="194" spans="1:19">
      <c r="A194">
        <v>55</v>
      </c>
      <c r="B194" t="s">
        <v>44</v>
      </c>
      <c r="C194">
        <v>3907</v>
      </c>
      <c r="D194" t="s">
        <v>223</v>
      </c>
      <c r="E194">
        <v>1310.6500000000001</v>
      </c>
      <c r="F194">
        <v>90</v>
      </c>
      <c r="G194">
        <v>414</v>
      </c>
      <c r="H194">
        <v>66758</v>
      </c>
      <c r="I194">
        <v>3.17</v>
      </c>
      <c r="J194">
        <v>36</v>
      </c>
      <c r="K194">
        <v>20</v>
      </c>
      <c r="L194">
        <v>323</v>
      </c>
      <c r="O194" s="1" t="str">
        <f t="shared" ref="O194:O257" si="12">IF(N194&gt;0,ROUND((N194-E194)/E194*100,1),"")</f>
        <v/>
      </c>
      <c r="P194" s="1">
        <f>ROUND((E194*Tidbruk!$J$1)+(G194*Tidbruk!$J$2),0)</f>
        <v>1454</v>
      </c>
      <c r="Q194" s="4">
        <f t="shared" si="9"/>
        <v>25</v>
      </c>
      <c r="R194" s="1">
        <f t="shared" si="10"/>
        <v>4</v>
      </c>
      <c r="S194" s="1">
        <f t="shared" si="11"/>
        <v>1.4792899408284023E-2</v>
      </c>
    </row>
    <row r="195" spans="1:19">
      <c r="A195">
        <v>11</v>
      </c>
      <c r="B195" t="s">
        <v>82</v>
      </c>
      <c r="C195">
        <v>3909</v>
      </c>
      <c r="D195" t="s">
        <v>224</v>
      </c>
      <c r="E195">
        <v>2065.11</v>
      </c>
      <c r="F195">
        <v>34</v>
      </c>
      <c r="G195">
        <v>771</v>
      </c>
      <c r="H195">
        <v>48870</v>
      </c>
      <c r="I195">
        <v>2.68</v>
      </c>
      <c r="J195">
        <v>64</v>
      </c>
      <c r="K195">
        <v>42</v>
      </c>
      <c r="L195">
        <v>289</v>
      </c>
      <c r="O195" s="1" t="str">
        <f t="shared" si="12"/>
        <v/>
      </c>
      <c r="P195" s="1">
        <f>ROUND((E195*Tidbruk!$J$1)+(G195*Tidbruk!$J$2),0)</f>
        <v>2368</v>
      </c>
      <c r="Q195" s="4">
        <f t="shared" ref="Q195:Q258" si="13">ROUNDUP(P195/60,0)</f>
        <v>40</v>
      </c>
      <c r="R195" s="1">
        <f t="shared" ref="R195:R258" si="14">ROUNDUP(Q195/7.5,0)</f>
        <v>6</v>
      </c>
      <c r="S195" s="1">
        <f t="shared" ref="S195:S258" si="15">Q195/1690</f>
        <v>2.3668639053254437E-2</v>
      </c>
    </row>
    <row r="196" spans="1:19">
      <c r="A196">
        <v>18</v>
      </c>
      <c r="B196" t="s">
        <v>73</v>
      </c>
      <c r="C196">
        <v>3911</v>
      </c>
      <c r="D196" t="s">
        <v>225</v>
      </c>
      <c r="E196">
        <v>345.38</v>
      </c>
      <c r="F196">
        <v>291</v>
      </c>
      <c r="G196">
        <v>100</v>
      </c>
      <c r="H196">
        <v>27569</v>
      </c>
      <c r="I196">
        <v>3.45</v>
      </c>
      <c r="J196">
        <v>24</v>
      </c>
      <c r="K196">
        <v>13</v>
      </c>
      <c r="L196">
        <v>335</v>
      </c>
      <c r="O196" s="1" t="str">
        <f t="shared" si="12"/>
        <v/>
      </c>
      <c r="P196" s="1">
        <f>ROUND((E196*Tidbruk!$J$1)+(G196*Tidbruk!$J$2),0)</f>
        <v>377</v>
      </c>
      <c r="Q196" s="4">
        <f t="shared" si="13"/>
        <v>7</v>
      </c>
      <c r="R196" s="1">
        <f t="shared" si="14"/>
        <v>1</v>
      </c>
      <c r="S196" s="1">
        <f t="shared" si="15"/>
        <v>4.1420118343195268E-3</v>
      </c>
    </row>
    <row r="197" spans="1:19">
      <c r="A197">
        <v>55</v>
      </c>
      <c r="B197" t="s">
        <v>44</v>
      </c>
      <c r="C197">
        <v>4001</v>
      </c>
      <c r="D197" t="s">
        <v>226</v>
      </c>
      <c r="E197">
        <v>652.21</v>
      </c>
      <c r="F197">
        <v>220</v>
      </c>
      <c r="G197">
        <v>161</v>
      </c>
      <c r="H197">
        <v>37289</v>
      </c>
      <c r="I197">
        <v>4.05</v>
      </c>
      <c r="J197">
        <v>4</v>
      </c>
      <c r="K197">
        <v>17</v>
      </c>
      <c r="L197">
        <v>326</v>
      </c>
      <c r="O197" s="1" t="str">
        <f t="shared" si="12"/>
        <v/>
      </c>
      <c r="P197" s="1">
        <f>ROUND((E197*Tidbruk!$J$1)+(G197*Tidbruk!$J$2),0)</f>
        <v>694</v>
      </c>
      <c r="Q197" s="4">
        <f t="shared" si="13"/>
        <v>12</v>
      </c>
      <c r="R197" s="1">
        <f t="shared" si="14"/>
        <v>2</v>
      </c>
      <c r="S197" s="1">
        <f t="shared" si="15"/>
        <v>7.100591715976331E-3</v>
      </c>
    </row>
    <row r="198" spans="1:19">
      <c r="A198">
        <v>32</v>
      </c>
      <c r="B198" t="s">
        <v>84</v>
      </c>
      <c r="C198">
        <v>4003</v>
      </c>
      <c r="D198" t="s">
        <v>227</v>
      </c>
      <c r="E198">
        <v>1589.44</v>
      </c>
      <c r="F198">
        <v>62</v>
      </c>
      <c r="G198">
        <v>719</v>
      </c>
      <c r="H198">
        <v>56866</v>
      </c>
      <c r="I198">
        <v>2.21</v>
      </c>
      <c r="J198">
        <v>106</v>
      </c>
      <c r="K198">
        <v>28</v>
      </c>
      <c r="L198">
        <v>309</v>
      </c>
      <c r="O198" s="1" t="str">
        <f t="shared" si="12"/>
        <v/>
      </c>
      <c r="P198" s="1">
        <f>ROUND((E198*Tidbruk!$J$1)+(G198*Tidbruk!$J$2),0)</f>
        <v>1904</v>
      </c>
      <c r="Q198" s="4">
        <f t="shared" si="13"/>
        <v>32</v>
      </c>
      <c r="R198" s="1">
        <f t="shared" si="14"/>
        <v>5</v>
      </c>
      <c r="S198" s="1">
        <f t="shared" si="15"/>
        <v>1.8934911242603551E-2</v>
      </c>
    </row>
    <row r="199" spans="1:19">
      <c r="A199">
        <v>32</v>
      </c>
      <c r="B199" t="s">
        <v>84</v>
      </c>
      <c r="C199">
        <v>4005</v>
      </c>
      <c r="D199" t="s">
        <v>228</v>
      </c>
      <c r="E199">
        <v>1383.55</v>
      </c>
      <c r="F199">
        <v>77</v>
      </c>
      <c r="G199">
        <v>912</v>
      </c>
      <c r="H199">
        <v>13333</v>
      </c>
      <c r="I199">
        <v>1.52</v>
      </c>
      <c r="J199">
        <v>174</v>
      </c>
      <c r="K199">
        <v>104</v>
      </c>
      <c r="L199">
        <v>211</v>
      </c>
      <c r="O199" s="1" t="str">
        <f t="shared" si="12"/>
        <v/>
      </c>
      <c r="P199" s="1">
        <f>ROUND((E199*Tidbruk!$J$1)+(G199*Tidbruk!$J$2),0)</f>
        <v>1844</v>
      </c>
      <c r="Q199" s="4">
        <f t="shared" si="13"/>
        <v>31</v>
      </c>
      <c r="R199" s="1">
        <f t="shared" si="14"/>
        <v>5</v>
      </c>
      <c r="S199" s="1">
        <f t="shared" si="15"/>
        <v>1.8343195266272188E-2</v>
      </c>
    </row>
    <row r="200" spans="1:19">
      <c r="A200">
        <v>55</v>
      </c>
      <c r="B200" t="s">
        <v>44</v>
      </c>
      <c r="C200">
        <v>4010</v>
      </c>
      <c r="D200" t="s">
        <v>229</v>
      </c>
      <c r="E200">
        <v>437.25</v>
      </c>
      <c r="F200">
        <v>273</v>
      </c>
      <c r="G200">
        <v>202</v>
      </c>
      <c r="H200">
        <v>2389</v>
      </c>
      <c r="I200">
        <v>2.16</v>
      </c>
      <c r="J200">
        <v>109</v>
      </c>
      <c r="K200">
        <v>183</v>
      </c>
      <c r="L200">
        <v>148</v>
      </c>
      <c r="O200" s="1" t="str">
        <f t="shared" si="12"/>
        <v/>
      </c>
      <c r="P200" s="1">
        <f>ROUND((E200*Tidbruk!$J$1)+(G200*Tidbruk!$J$2),0)</f>
        <v>527</v>
      </c>
      <c r="Q200" s="4">
        <f t="shared" si="13"/>
        <v>9</v>
      </c>
      <c r="R200" s="1">
        <f t="shared" si="14"/>
        <v>2</v>
      </c>
      <c r="S200" s="1">
        <f t="shared" si="15"/>
        <v>5.3254437869822485E-3</v>
      </c>
    </row>
    <row r="201" spans="1:19">
      <c r="A201">
        <v>32</v>
      </c>
      <c r="B201" t="s">
        <v>84</v>
      </c>
      <c r="C201">
        <v>4012</v>
      </c>
      <c r="D201" t="s">
        <v>230</v>
      </c>
      <c r="E201">
        <v>516.47</v>
      </c>
      <c r="F201">
        <v>248</v>
      </c>
      <c r="G201">
        <v>282</v>
      </c>
      <c r="H201">
        <v>14310</v>
      </c>
      <c r="I201">
        <v>1.83</v>
      </c>
      <c r="J201">
        <v>142</v>
      </c>
      <c r="K201">
        <v>36</v>
      </c>
      <c r="L201">
        <v>300</v>
      </c>
      <c r="O201" s="1" t="str">
        <f t="shared" si="12"/>
        <v/>
      </c>
      <c r="P201" s="1">
        <f>ROUND((E201*Tidbruk!$J$1)+(G201*Tidbruk!$J$2),0)</f>
        <v>650</v>
      </c>
      <c r="Q201" s="4">
        <f t="shared" si="13"/>
        <v>11</v>
      </c>
      <c r="R201" s="1">
        <f t="shared" si="14"/>
        <v>2</v>
      </c>
      <c r="S201" s="1">
        <f t="shared" si="15"/>
        <v>6.5088757396449702E-3</v>
      </c>
    </row>
    <row r="202" spans="1:19">
      <c r="A202">
        <v>32</v>
      </c>
      <c r="B202" t="s">
        <v>84</v>
      </c>
      <c r="C202">
        <v>4014</v>
      </c>
      <c r="D202" t="s">
        <v>231</v>
      </c>
      <c r="E202">
        <v>713.35</v>
      </c>
      <c r="F202">
        <v>202</v>
      </c>
      <c r="G202">
        <v>289</v>
      </c>
      <c r="H202">
        <v>10446</v>
      </c>
      <c r="I202">
        <v>2.4700000000000002</v>
      </c>
      <c r="J202">
        <v>81</v>
      </c>
      <c r="K202">
        <v>68</v>
      </c>
      <c r="L202">
        <v>253</v>
      </c>
      <c r="O202" s="1" t="str">
        <f t="shared" si="12"/>
        <v/>
      </c>
      <c r="P202" s="1">
        <f>ROUND((E202*Tidbruk!$J$1)+(G202*Tidbruk!$J$2),0)</f>
        <v>833</v>
      </c>
      <c r="Q202" s="4">
        <f t="shared" si="13"/>
        <v>14</v>
      </c>
      <c r="R202" s="1">
        <f t="shared" si="14"/>
        <v>2</v>
      </c>
      <c r="S202" s="1">
        <f t="shared" si="15"/>
        <v>8.2840236686390536E-3</v>
      </c>
    </row>
    <row r="203" spans="1:19">
      <c r="A203">
        <v>40</v>
      </c>
      <c r="B203" t="s">
        <v>39</v>
      </c>
      <c r="C203">
        <v>4016</v>
      </c>
      <c r="D203" t="s">
        <v>232</v>
      </c>
      <c r="E203">
        <v>1453.62</v>
      </c>
      <c r="F203">
        <v>68</v>
      </c>
      <c r="G203">
        <v>995</v>
      </c>
      <c r="H203">
        <v>4067</v>
      </c>
      <c r="I203">
        <v>1.46</v>
      </c>
      <c r="J203">
        <v>179</v>
      </c>
      <c r="K203">
        <v>357</v>
      </c>
      <c r="L203">
        <v>85</v>
      </c>
      <c r="O203" s="1" t="str">
        <f t="shared" si="12"/>
        <v/>
      </c>
      <c r="P203" s="1">
        <f>ROUND((E203*Tidbruk!$J$1)+(G203*Tidbruk!$J$2),0)</f>
        <v>1961</v>
      </c>
      <c r="Q203" s="4">
        <f t="shared" si="13"/>
        <v>33</v>
      </c>
      <c r="R203" s="1">
        <f t="shared" si="14"/>
        <v>5</v>
      </c>
      <c r="S203" s="1">
        <f t="shared" si="15"/>
        <v>1.952662721893491E-2</v>
      </c>
    </row>
    <row r="204" spans="1:19">
      <c r="A204">
        <v>40</v>
      </c>
      <c r="B204" t="s">
        <v>39</v>
      </c>
      <c r="C204">
        <v>4018</v>
      </c>
      <c r="D204" t="s">
        <v>233</v>
      </c>
      <c r="E204">
        <v>708.73</v>
      </c>
      <c r="F204">
        <v>203</v>
      </c>
      <c r="G204">
        <v>385</v>
      </c>
      <c r="H204">
        <v>6558</v>
      </c>
      <c r="I204">
        <v>1.84</v>
      </c>
      <c r="J204">
        <v>140</v>
      </c>
      <c r="K204">
        <v>108</v>
      </c>
      <c r="L204">
        <v>207</v>
      </c>
      <c r="O204" s="1" t="str">
        <f t="shared" si="12"/>
        <v/>
      </c>
      <c r="P204" s="1">
        <f>ROUND((E204*Tidbruk!$J$1)+(G204*Tidbruk!$J$2),0)</f>
        <v>891</v>
      </c>
      <c r="Q204" s="4">
        <f t="shared" si="13"/>
        <v>15</v>
      </c>
      <c r="R204" s="1">
        <f t="shared" si="14"/>
        <v>2</v>
      </c>
      <c r="S204" s="1">
        <f t="shared" si="15"/>
        <v>8.8757396449704144E-3</v>
      </c>
    </row>
    <row r="205" spans="1:19">
      <c r="A205">
        <v>18</v>
      </c>
      <c r="B205" t="s">
        <v>73</v>
      </c>
      <c r="C205">
        <v>4020</v>
      </c>
      <c r="D205" t="s">
        <v>234</v>
      </c>
      <c r="E205">
        <v>1393.38</v>
      </c>
      <c r="F205">
        <v>75</v>
      </c>
      <c r="G205">
        <v>487</v>
      </c>
      <c r="H205">
        <v>11135</v>
      </c>
      <c r="I205">
        <v>2.86</v>
      </c>
      <c r="J205">
        <v>51</v>
      </c>
      <c r="K205">
        <v>125</v>
      </c>
      <c r="L205">
        <v>191</v>
      </c>
      <c r="O205" s="1" t="str">
        <f t="shared" si="12"/>
        <v/>
      </c>
      <c r="P205" s="1">
        <f>ROUND((E205*Tidbruk!$J$1)+(G205*Tidbruk!$J$2),0)</f>
        <v>1576</v>
      </c>
      <c r="Q205" s="4">
        <f t="shared" si="13"/>
        <v>27</v>
      </c>
      <c r="R205" s="1">
        <f t="shared" si="14"/>
        <v>4</v>
      </c>
      <c r="S205" s="1">
        <f t="shared" si="15"/>
        <v>1.5976331360946745E-2</v>
      </c>
    </row>
    <row r="206" spans="1:19">
      <c r="A206">
        <v>11</v>
      </c>
      <c r="B206" t="s">
        <v>82</v>
      </c>
      <c r="C206">
        <v>4022</v>
      </c>
      <c r="D206" t="s">
        <v>235</v>
      </c>
      <c r="E206">
        <v>1336.31</v>
      </c>
      <c r="F206">
        <v>87</v>
      </c>
      <c r="G206">
        <v>669</v>
      </c>
      <c r="H206">
        <v>2981</v>
      </c>
      <c r="I206">
        <v>2</v>
      </c>
      <c r="J206">
        <v>126</v>
      </c>
      <c r="K206">
        <v>448</v>
      </c>
      <c r="L206">
        <v>60</v>
      </c>
      <c r="O206" s="1" t="str">
        <f t="shared" si="12"/>
        <v/>
      </c>
      <c r="P206" s="1">
        <f>ROUND((E206*Tidbruk!$J$1)+(G206*Tidbruk!$J$2),0)</f>
        <v>1643</v>
      </c>
      <c r="Q206" s="4">
        <f t="shared" si="13"/>
        <v>28</v>
      </c>
      <c r="R206" s="1">
        <f t="shared" si="14"/>
        <v>4</v>
      </c>
      <c r="S206" s="1">
        <f t="shared" si="15"/>
        <v>1.6568047337278107E-2</v>
      </c>
    </row>
    <row r="207" spans="1:19">
      <c r="A207">
        <v>42</v>
      </c>
      <c r="B207" t="s">
        <v>28</v>
      </c>
      <c r="C207">
        <v>4024</v>
      </c>
      <c r="D207" t="s">
        <v>236</v>
      </c>
      <c r="E207">
        <v>1055.6600000000001</v>
      </c>
      <c r="F207">
        <v>132</v>
      </c>
      <c r="G207">
        <v>737</v>
      </c>
      <c r="H207">
        <v>1646</v>
      </c>
      <c r="I207">
        <v>1.43</v>
      </c>
      <c r="J207">
        <v>186</v>
      </c>
      <c r="K207">
        <v>641</v>
      </c>
      <c r="L207">
        <v>28</v>
      </c>
      <c r="O207" s="1" t="str">
        <f t="shared" si="12"/>
        <v/>
      </c>
      <c r="P207" s="1">
        <f>ROUND((E207*Tidbruk!$J$1)+(G207*Tidbruk!$J$2),0)</f>
        <v>1434</v>
      </c>
      <c r="Q207" s="4">
        <f t="shared" si="13"/>
        <v>24</v>
      </c>
      <c r="R207" s="1">
        <f t="shared" si="14"/>
        <v>4</v>
      </c>
      <c r="S207" s="1">
        <f t="shared" si="15"/>
        <v>1.4201183431952662E-2</v>
      </c>
    </row>
    <row r="208" spans="1:19">
      <c r="A208">
        <v>46</v>
      </c>
      <c r="B208" t="s">
        <v>32</v>
      </c>
      <c r="C208">
        <v>4026</v>
      </c>
      <c r="D208" t="s">
        <v>237</v>
      </c>
      <c r="E208">
        <v>2578.3000000000002</v>
      </c>
      <c r="F208">
        <v>15</v>
      </c>
      <c r="G208">
        <v>1848</v>
      </c>
      <c r="H208">
        <v>5529</v>
      </c>
      <c r="I208">
        <v>1.4</v>
      </c>
      <c r="J208">
        <v>188</v>
      </c>
      <c r="K208">
        <v>466</v>
      </c>
      <c r="L208">
        <v>57</v>
      </c>
      <c r="O208" s="1" t="str">
        <f t="shared" si="12"/>
        <v/>
      </c>
      <c r="P208" s="1">
        <f>ROUND((E208*Tidbruk!$J$1)+(G208*Tidbruk!$J$2),0)</f>
        <v>3533</v>
      </c>
      <c r="Q208" s="4">
        <f t="shared" si="13"/>
        <v>59</v>
      </c>
      <c r="R208" s="1">
        <f t="shared" si="14"/>
        <v>8</v>
      </c>
      <c r="S208" s="1">
        <f t="shared" si="15"/>
        <v>3.4911242603550295E-2</v>
      </c>
    </row>
    <row r="209" spans="1:19">
      <c r="A209">
        <v>15</v>
      </c>
      <c r="B209" t="s">
        <v>94</v>
      </c>
      <c r="C209">
        <v>4028</v>
      </c>
      <c r="D209" t="s">
        <v>238</v>
      </c>
      <c r="E209">
        <v>907.25</v>
      </c>
      <c r="F209">
        <v>169</v>
      </c>
      <c r="G209">
        <v>623</v>
      </c>
      <c r="H209">
        <v>2473</v>
      </c>
      <c r="I209">
        <v>1.46</v>
      </c>
      <c r="J209">
        <v>179</v>
      </c>
      <c r="K209">
        <v>367</v>
      </c>
      <c r="L209">
        <v>78</v>
      </c>
      <c r="O209" s="1" t="str">
        <f t="shared" si="12"/>
        <v/>
      </c>
      <c r="P209" s="1">
        <f>ROUND((E209*Tidbruk!$J$1)+(G209*Tidbruk!$J$2),0)</f>
        <v>1225</v>
      </c>
      <c r="Q209" s="4">
        <f t="shared" si="13"/>
        <v>21</v>
      </c>
      <c r="R209" s="1">
        <f t="shared" si="14"/>
        <v>3</v>
      </c>
      <c r="S209" s="1">
        <f t="shared" si="15"/>
        <v>1.242603550295858E-2</v>
      </c>
    </row>
    <row r="210" spans="1:19">
      <c r="A210">
        <v>50</v>
      </c>
      <c r="B210" t="s">
        <v>21</v>
      </c>
      <c r="C210">
        <v>4030</v>
      </c>
      <c r="D210" t="s">
        <v>239</v>
      </c>
      <c r="E210">
        <v>960.64</v>
      </c>
      <c r="F210">
        <v>158</v>
      </c>
      <c r="G210">
        <v>786</v>
      </c>
      <c r="H210">
        <v>1486</v>
      </c>
      <c r="I210">
        <v>1.22</v>
      </c>
      <c r="J210">
        <v>217</v>
      </c>
      <c r="K210">
        <v>646</v>
      </c>
      <c r="L210">
        <v>27</v>
      </c>
      <c r="O210" s="1" t="str">
        <f t="shared" si="12"/>
        <v/>
      </c>
      <c r="P210" s="1">
        <f>ROUND((E210*Tidbruk!$J$1)+(G210*Tidbruk!$J$2),0)</f>
        <v>1380</v>
      </c>
      <c r="Q210" s="4">
        <f t="shared" si="13"/>
        <v>23</v>
      </c>
      <c r="R210" s="1">
        <f t="shared" si="14"/>
        <v>4</v>
      </c>
      <c r="S210" s="1">
        <f t="shared" si="15"/>
        <v>1.3609467455621301E-2</v>
      </c>
    </row>
    <row r="211" spans="1:19">
      <c r="A211">
        <v>18</v>
      </c>
      <c r="B211" t="s">
        <v>73</v>
      </c>
      <c r="C211">
        <v>4032</v>
      </c>
      <c r="D211" t="s">
        <v>240</v>
      </c>
      <c r="E211">
        <v>968.84</v>
      </c>
      <c r="F211">
        <v>154</v>
      </c>
      <c r="G211">
        <v>1107</v>
      </c>
      <c r="H211">
        <v>1256</v>
      </c>
      <c r="I211">
        <v>0.88</v>
      </c>
      <c r="J211">
        <v>268</v>
      </c>
      <c r="K211">
        <v>771</v>
      </c>
      <c r="L211">
        <v>17</v>
      </c>
      <c r="O211" s="1" t="str">
        <f t="shared" si="12"/>
        <v/>
      </c>
      <c r="P211" s="1">
        <f>ROUND((E211*Tidbruk!$J$1)+(G211*Tidbruk!$J$2),0)</f>
        <v>1596</v>
      </c>
      <c r="Q211" s="4">
        <f t="shared" si="13"/>
        <v>27</v>
      </c>
      <c r="R211" s="1">
        <f t="shared" si="14"/>
        <v>4</v>
      </c>
      <c r="S211" s="1">
        <f t="shared" si="15"/>
        <v>1.5976331360946745E-2</v>
      </c>
    </row>
    <row r="212" spans="1:19">
      <c r="A212">
        <v>46</v>
      </c>
      <c r="B212" t="s">
        <v>32</v>
      </c>
      <c r="C212">
        <v>4034</v>
      </c>
      <c r="D212" t="s">
        <v>241</v>
      </c>
      <c r="E212">
        <v>1141.51</v>
      </c>
      <c r="F212">
        <v>115</v>
      </c>
      <c r="G212">
        <v>905</v>
      </c>
      <c r="H212">
        <v>2238</v>
      </c>
      <c r="I212">
        <v>1.26</v>
      </c>
      <c r="J212">
        <v>210</v>
      </c>
      <c r="K212">
        <v>510</v>
      </c>
      <c r="L212">
        <v>47</v>
      </c>
      <c r="O212" s="1" t="str">
        <f t="shared" si="12"/>
        <v/>
      </c>
      <c r="P212" s="1">
        <f>ROUND((E212*Tidbruk!$J$1)+(G212*Tidbruk!$J$2),0)</f>
        <v>1621</v>
      </c>
      <c r="Q212" s="4">
        <f t="shared" si="13"/>
        <v>28</v>
      </c>
      <c r="R212" s="1">
        <f t="shared" si="14"/>
        <v>4</v>
      </c>
      <c r="S212" s="1">
        <f t="shared" si="15"/>
        <v>1.6568047337278107E-2</v>
      </c>
    </row>
    <row r="213" spans="1:19">
      <c r="A213">
        <v>46</v>
      </c>
      <c r="B213" t="s">
        <v>32</v>
      </c>
      <c r="C213">
        <v>4036</v>
      </c>
      <c r="D213" t="s">
        <v>242</v>
      </c>
      <c r="E213">
        <v>2317.61</v>
      </c>
      <c r="F213">
        <v>22</v>
      </c>
      <c r="G213">
        <v>2725</v>
      </c>
      <c r="H213">
        <v>3861</v>
      </c>
      <c r="I213">
        <v>0.85</v>
      </c>
      <c r="J213">
        <v>277</v>
      </c>
      <c r="K213">
        <v>600</v>
      </c>
      <c r="L213">
        <v>36</v>
      </c>
      <c r="O213" s="1" t="str">
        <f t="shared" si="12"/>
        <v/>
      </c>
      <c r="P213" s="1">
        <f>ROUND((E213*Tidbruk!$J$1)+(G213*Tidbruk!$J$2),0)</f>
        <v>3868</v>
      </c>
      <c r="Q213" s="4">
        <f t="shared" si="13"/>
        <v>65</v>
      </c>
      <c r="R213" s="1">
        <f t="shared" si="14"/>
        <v>9</v>
      </c>
      <c r="S213" s="1">
        <f t="shared" si="15"/>
        <v>3.8461538461538464E-2</v>
      </c>
    </row>
    <row r="214" spans="1:19">
      <c r="A214">
        <v>42</v>
      </c>
      <c r="B214" t="s">
        <v>28</v>
      </c>
      <c r="C214">
        <v>4201</v>
      </c>
      <c r="D214" t="s">
        <v>243</v>
      </c>
      <c r="E214">
        <v>644.33000000000004</v>
      </c>
      <c r="F214">
        <v>224</v>
      </c>
      <c r="G214">
        <v>171</v>
      </c>
      <c r="H214">
        <v>6687</v>
      </c>
      <c r="I214">
        <v>3.77</v>
      </c>
      <c r="J214">
        <v>11</v>
      </c>
      <c r="K214">
        <v>96</v>
      </c>
      <c r="L214">
        <v>218</v>
      </c>
      <c r="O214" s="1" t="str">
        <f t="shared" si="12"/>
        <v/>
      </c>
      <c r="P214" s="1">
        <f>ROUND((E214*Tidbruk!$J$1)+(G214*Tidbruk!$J$2),0)</f>
        <v>693</v>
      </c>
      <c r="Q214" s="4">
        <f t="shared" si="13"/>
        <v>12</v>
      </c>
      <c r="R214" s="1">
        <f t="shared" si="14"/>
        <v>2</v>
      </c>
      <c r="S214" s="1">
        <f t="shared" si="15"/>
        <v>7.100591715976331E-3</v>
      </c>
    </row>
    <row r="215" spans="1:19">
      <c r="A215">
        <v>18</v>
      </c>
      <c r="B215" t="s">
        <v>73</v>
      </c>
      <c r="C215">
        <v>4202</v>
      </c>
      <c r="D215" t="s">
        <v>244</v>
      </c>
      <c r="E215">
        <v>590.11</v>
      </c>
      <c r="F215">
        <v>236</v>
      </c>
      <c r="G215">
        <v>272</v>
      </c>
      <c r="H215">
        <v>25419</v>
      </c>
      <c r="I215">
        <v>2.17</v>
      </c>
      <c r="J215">
        <v>108</v>
      </c>
      <c r="K215">
        <v>23</v>
      </c>
      <c r="L215">
        <v>320</v>
      </c>
      <c r="O215" s="1" t="str">
        <f t="shared" si="12"/>
        <v/>
      </c>
      <c r="P215" s="1">
        <f>ROUND((E215*Tidbruk!$J$1)+(G215*Tidbruk!$J$2),0)</f>
        <v>710</v>
      </c>
      <c r="Q215" s="4">
        <f t="shared" si="13"/>
        <v>12</v>
      </c>
      <c r="R215" s="1">
        <f t="shared" si="14"/>
        <v>2</v>
      </c>
      <c r="S215" s="1">
        <f t="shared" si="15"/>
        <v>7.100591715976331E-3</v>
      </c>
    </row>
    <row r="216" spans="1:19">
      <c r="A216">
        <v>15</v>
      </c>
      <c r="B216" t="s">
        <v>94</v>
      </c>
      <c r="C216">
        <v>4203</v>
      </c>
      <c r="D216" t="s">
        <v>245</v>
      </c>
      <c r="E216">
        <v>1212.8699999999999</v>
      </c>
      <c r="F216">
        <v>104</v>
      </c>
      <c r="G216">
        <v>255</v>
      </c>
      <c r="H216">
        <v>46568</v>
      </c>
      <c r="I216">
        <v>4.76</v>
      </c>
      <c r="J216">
        <v>2</v>
      </c>
      <c r="K216">
        <v>26</v>
      </c>
      <c r="L216">
        <v>312</v>
      </c>
      <c r="O216" s="1" t="str">
        <f t="shared" si="12"/>
        <v/>
      </c>
      <c r="P216" s="1">
        <f>ROUND((E216*Tidbruk!$J$1)+(G216*Tidbruk!$J$2),0)</f>
        <v>1262</v>
      </c>
      <c r="Q216" s="4">
        <f t="shared" si="13"/>
        <v>22</v>
      </c>
      <c r="R216" s="1">
        <f t="shared" si="14"/>
        <v>3</v>
      </c>
      <c r="S216" s="1">
        <f t="shared" si="15"/>
        <v>1.301775147928994E-2</v>
      </c>
    </row>
    <row r="217" spans="1:19">
      <c r="A217">
        <v>18</v>
      </c>
      <c r="B217" t="s">
        <v>73</v>
      </c>
      <c r="C217">
        <v>4204</v>
      </c>
      <c r="D217" t="s">
        <v>246</v>
      </c>
      <c r="E217">
        <v>2282.9299999999998</v>
      </c>
      <c r="F217">
        <v>23</v>
      </c>
      <c r="G217">
        <v>610</v>
      </c>
      <c r="H217">
        <v>118221</v>
      </c>
      <c r="I217">
        <v>3.74</v>
      </c>
      <c r="J217">
        <v>12</v>
      </c>
      <c r="K217">
        <v>19</v>
      </c>
      <c r="L217">
        <v>325</v>
      </c>
      <c r="O217" s="1" t="str">
        <f t="shared" si="12"/>
        <v/>
      </c>
      <c r="P217" s="1">
        <f>ROUND((E217*Tidbruk!$J$1)+(G217*Tidbruk!$J$2),0)</f>
        <v>2460</v>
      </c>
      <c r="Q217" s="4">
        <f t="shared" si="13"/>
        <v>41</v>
      </c>
      <c r="R217" s="1">
        <f t="shared" si="14"/>
        <v>6</v>
      </c>
      <c r="S217" s="1">
        <f t="shared" si="15"/>
        <v>2.42603550295858E-2</v>
      </c>
    </row>
    <row r="218" spans="1:19">
      <c r="A218">
        <v>32</v>
      </c>
      <c r="B218" t="s">
        <v>84</v>
      </c>
      <c r="C218">
        <v>4205</v>
      </c>
      <c r="D218" t="s">
        <v>247</v>
      </c>
      <c r="E218">
        <v>3097.54</v>
      </c>
      <c r="F218">
        <v>6</v>
      </c>
      <c r="G218">
        <v>883</v>
      </c>
      <c r="H218">
        <v>23768</v>
      </c>
      <c r="I218">
        <v>3.51</v>
      </c>
      <c r="J218">
        <v>20</v>
      </c>
      <c r="K218">
        <v>130</v>
      </c>
      <c r="L218">
        <v>182</v>
      </c>
      <c r="O218" s="1" t="str">
        <f t="shared" si="12"/>
        <v/>
      </c>
      <c r="P218" s="1">
        <f>ROUND((E218*Tidbruk!$J$1)+(G218*Tidbruk!$J$2),0)</f>
        <v>3373</v>
      </c>
      <c r="Q218" s="4">
        <f t="shared" si="13"/>
        <v>57</v>
      </c>
      <c r="R218" s="1">
        <f t="shared" si="14"/>
        <v>8</v>
      </c>
      <c r="S218" s="1">
        <f t="shared" si="15"/>
        <v>3.3727810650887577E-2</v>
      </c>
    </row>
    <row r="219" spans="1:19">
      <c r="A219">
        <v>11</v>
      </c>
      <c r="B219" t="s">
        <v>82</v>
      </c>
      <c r="C219">
        <v>4206</v>
      </c>
      <c r="D219" t="s">
        <v>248</v>
      </c>
      <c r="E219">
        <v>654.72</v>
      </c>
      <c r="F219">
        <v>219</v>
      </c>
      <c r="G219">
        <v>252</v>
      </c>
      <c r="H219">
        <v>9880</v>
      </c>
      <c r="I219">
        <v>2.6</v>
      </c>
      <c r="J219">
        <v>73</v>
      </c>
      <c r="K219">
        <v>66</v>
      </c>
      <c r="L219">
        <v>255</v>
      </c>
      <c r="O219" s="1" t="str">
        <f t="shared" si="12"/>
        <v/>
      </c>
      <c r="P219" s="1">
        <f>ROUND((E219*Tidbruk!$J$1)+(G219*Tidbruk!$J$2),0)</f>
        <v>756</v>
      </c>
      <c r="Q219" s="4">
        <f t="shared" si="13"/>
        <v>13</v>
      </c>
      <c r="R219" s="1">
        <f t="shared" si="14"/>
        <v>2</v>
      </c>
      <c r="S219" s="1">
        <f t="shared" si="15"/>
        <v>7.6923076923076927E-3</v>
      </c>
    </row>
    <row r="220" spans="1:19">
      <c r="A220">
        <v>42</v>
      </c>
      <c r="B220" t="s">
        <v>28</v>
      </c>
      <c r="C220">
        <v>4207</v>
      </c>
      <c r="D220" t="s">
        <v>249</v>
      </c>
      <c r="E220">
        <v>1088.67</v>
      </c>
      <c r="F220">
        <v>126</v>
      </c>
      <c r="G220">
        <v>482</v>
      </c>
      <c r="H220">
        <v>9329</v>
      </c>
      <c r="I220">
        <v>2.2599999999999998</v>
      </c>
      <c r="J220">
        <v>99</v>
      </c>
      <c r="K220">
        <v>117</v>
      </c>
      <c r="L220">
        <v>198</v>
      </c>
      <c r="O220" s="1" t="str">
        <f t="shared" si="12"/>
        <v/>
      </c>
      <c r="P220" s="1">
        <f>ROUND((E220*Tidbruk!$J$1)+(G220*Tidbruk!$J$2),0)</f>
        <v>1297</v>
      </c>
      <c r="Q220" s="4">
        <f t="shared" si="13"/>
        <v>22</v>
      </c>
      <c r="R220" s="1">
        <f t="shared" si="14"/>
        <v>3</v>
      </c>
      <c r="S220" s="1">
        <f t="shared" si="15"/>
        <v>1.301775147928994E-2</v>
      </c>
    </row>
    <row r="221" spans="1:19">
      <c r="A221">
        <v>40</v>
      </c>
      <c r="B221" t="s">
        <v>39</v>
      </c>
      <c r="C221">
        <v>4211</v>
      </c>
      <c r="D221" t="s">
        <v>250</v>
      </c>
      <c r="E221">
        <v>822.19</v>
      </c>
      <c r="F221">
        <v>185</v>
      </c>
      <c r="G221">
        <v>308</v>
      </c>
      <c r="H221">
        <v>2492</v>
      </c>
      <c r="I221">
        <v>2.67</v>
      </c>
      <c r="J221">
        <v>65</v>
      </c>
      <c r="K221">
        <v>330</v>
      </c>
      <c r="L221">
        <v>95</v>
      </c>
      <c r="O221" s="1" t="str">
        <f t="shared" si="12"/>
        <v/>
      </c>
      <c r="P221" s="1">
        <f>ROUND((E221*Tidbruk!$J$1)+(G221*Tidbruk!$J$2),0)</f>
        <v>943</v>
      </c>
      <c r="Q221" s="4">
        <f t="shared" si="13"/>
        <v>16</v>
      </c>
      <c r="R221" s="1">
        <f t="shared" si="14"/>
        <v>3</v>
      </c>
      <c r="S221" s="1">
        <f t="shared" si="15"/>
        <v>9.4674556213017753E-3</v>
      </c>
    </row>
    <row r="222" spans="1:19">
      <c r="A222">
        <v>18</v>
      </c>
      <c r="B222" t="s">
        <v>73</v>
      </c>
      <c r="C222">
        <v>4212</v>
      </c>
      <c r="D222" t="s">
        <v>251</v>
      </c>
      <c r="E222">
        <v>1046.56</v>
      </c>
      <c r="F222">
        <v>135</v>
      </c>
      <c r="G222">
        <v>322</v>
      </c>
      <c r="H222">
        <v>2285</v>
      </c>
      <c r="I222">
        <v>3.25</v>
      </c>
      <c r="J222">
        <v>34</v>
      </c>
      <c r="K222">
        <v>458</v>
      </c>
      <c r="L222">
        <v>59</v>
      </c>
      <c r="O222" s="1" t="str">
        <f t="shared" si="12"/>
        <v/>
      </c>
      <c r="P222" s="1">
        <f>ROUND((E222*Tidbruk!$J$1)+(G222*Tidbruk!$J$2),0)</f>
        <v>1155</v>
      </c>
      <c r="Q222" s="4">
        <f t="shared" si="13"/>
        <v>20</v>
      </c>
      <c r="R222" s="1">
        <f t="shared" si="14"/>
        <v>3</v>
      </c>
      <c r="S222" s="1">
        <f t="shared" si="15"/>
        <v>1.1834319526627219E-2</v>
      </c>
    </row>
    <row r="223" spans="1:19">
      <c r="A223">
        <v>15</v>
      </c>
      <c r="B223" t="s">
        <v>94</v>
      </c>
      <c r="C223">
        <v>4213</v>
      </c>
      <c r="D223" t="s">
        <v>252</v>
      </c>
      <c r="E223">
        <v>816.78</v>
      </c>
      <c r="F223">
        <v>187</v>
      </c>
      <c r="G223">
        <v>212</v>
      </c>
      <c r="H223">
        <v>6464</v>
      </c>
      <c r="I223">
        <v>3.85</v>
      </c>
      <c r="J223">
        <v>8</v>
      </c>
      <c r="K223">
        <v>126</v>
      </c>
      <c r="L223">
        <v>188</v>
      </c>
      <c r="O223" s="1" t="str">
        <f t="shared" si="12"/>
        <v/>
      </c>
      <c r="P223" s="1">
        <f>ROUND((E223*Tidbruk!$J$1)+(G223*Tidbruk!$J$2),0)</f>
        <v>876</v>
      </c>
      <c r="Q223" s="4">
        <f t="shared" si="13"/>
        <v>15</v>
      </c>
      <c r="R223" s="1">
        <f t="shared" si="14"/>
        <v>2</v>
      </c>
      <c r="S223" s="1">
        <f t="shared" si="15"/>
        <v>8.8757396449704144E-3</v>
      </c>
    </row>
    <row r="224" spans="1:19">
      <c r="A224">
        <v>18</v>
      </c>
      <c r="B224" t="s">
        <v>73</v>
      </c>
      <c r="C224">
        <v>4214</v>
      </c>
      <c r="D224" t="s">
        <v>253</v>
      </c>
      <c r="E224">
        <v>912.82</v>
      </c>
      <c r="F224">
        <v>168</v>
      </c>
      <c r="G224">
        <v>601</v>
      </c>
      <c r="H224">
        <v>6260</v>
      </c>
      <c r="I224">
        <v>1.52</v>
      </c>
      <c r="J224">
        <v>174</v>
      </c>
      <c r="K224">
        <v>146</v>
      </c>
      <c r="L224">
        <v>171</v>
      </c>
      <c r="O224" s="1" t="str">
        <f t="shared" si="12"/>
        <v/>
      </c>
      <c r="P224" s="1">
        <f>ROUND((E224*Tidbruk!$J$1)+(G224*Tidbruk!$J$2),0)</f>
        <v>1216</v>
      </c>
      <c r="Q224" s="4">
        <f t="shared" si="13"/>
        <v>21</v>
      </c>
      <c r="R224" s="1">
        <f t="shared" si="14"/>
        <v>3</v>
      </c>
      <c r="S224" s="1">
        <f t="shared" si="15"/>
        <v>1.242603550295858E-2</v>
      </c>
    </row>
    <row r="225" spans="1:19">
      <c r="A225">
        <v>42</v>
      </c>
      <c r="B225" t="s">
        <v>28</v>
      </c>
      <c r="C225">
        <v>4215</v>
      </c>
      <c r="D225" t="s">
        <v>254</v>
      </c>
      <c r="E225">
        <v>496.92</v>
      </c>
      <c r="F225">
        <v>254</v>
      </c>
      <c r="G225">
        <v>180</v>
      </c>
      <c r="H225">
        <v>11734</v>
      </c>
      <c r="I225">
        <v>2.76</v>
      </c>
      <c r="J225">
        <v>57</v>
      </c>
      <c r="K225">
        <v>42</v>
      </c>
      <c r="L225">
        <v>289</v>
      </c>
      <c r="O225" s="1" t="str">
        <f t="shared" si="12"/>
        <v/>
      </c>
      <c r="P225" s="1">
        <f>ROUND((E225*Tidbruk!$J$1)+(G225*Tidbruk!$J$2),0)</f>
        <v>566</v>
      </c>
      <c r="Q225" s="4">
        <f t="shared" si="13"/>
        <v>10</v>
      </c>
      <c r="R225" s="1">
        <f t="shared" si="14"/>
        <v>2</v>
      </c>
      <c r="S225" s="1">
        <f t="shared" si="15"/>
        <v>5.9171597633136093E-3</v>
      </c>
    </row>
    <row r="226" spans="1:19">
      <c r="A226">
        <v>46</v>
      </c>
      <c r="B226" t="s">
        <v>32</v>
      </c>
      <c r="C226">
        <v>4216</v>
      </c>
      <c r="D226" t="s">
        <v>255</v>
      </c>
      <c r="E226">
        <v>1321.88</v>
      </c>
      <c r="F226">
        <v>89</v>
      </c>
      <c r="G226">
        <v>596</v>
      </c>
      <c r="H226">
        <v>5413</v>
      </c>
      <c r="I226">
        <v>2.2200000000000002</v>
      </c>
      <c r="J226">
        <v>105</v>
      </c>
      <c r="K226">
        <v>244</v>
      </c>
      <c r="L226">
        <v>123</v>
      </c>
      <c r="O226" s="1" t="str">
        <f t="shared" si="12"/>
        <v/>
      </c>
      <c r="P226" s="1">
        <f>ROUND((E226*Tidbruk!$J$1)+(G226*Tidbruk!$J$2),0)</f>
        <v>1582</v>
      </c>
      <c r="Q226" s="4">
        <f t="shared" si="13"/>
        <v>27</v>
      </c>
      <c r="R226" s="1">
        <f t="shared" si="14"/>
        <v>4</v>
      </c>
      <c r="S226" s="1">
        <f t="shared" si="15"/>
        <v>1.5976331360946745E-2</v>
      </c>
    </row>
    <row r="227" spans="1:19">
      <c r="A227">
        <v>34</v>
      </c>
      <c r="B227" t="s">
        <v>25</v>
      </c>
      <c r="C227">
        <v>4217</v>
      </c>
      <c r="D227" t="s">
        <v>256</v>
      </c>
      <c r="E227">
        <v>1349.34</v>
      </c>
      <c r="F227">
        <v>83</v>
      </c>
      <c r="G227">
        <v>1058</v>
      </c>
      <c r="H227">
        <v>1778</v>
      </c>
      <c r="I227">
        <v>1.28</v>
      </c>
      <c r="J227">
        <v>207</v>
      </c>
      <c r="K227">
        <v>759</v>
      </c>
      <c r="L227">
        <v>19</v>
      </c>
      <c r="O227" s="1" t="str">
        <f t="shared" si="12"/>
        <v/>
      </c>
      <c r="P227" s="1">
        <f>ROUND((E227*Tidbruk!$J$1)+(G227*Tidbruk!$J$2),0)</f>
        <v>1908</v>
      </c>
      <c r="Q227" s="4">
        <f t="shared" si="13"/>
        <v>32</v>
      </c>
      <c r="R227" s="1">
        <f t="shared" si="14"/>
        <v>5</v>
      </c>
      <c r="S227" s="1">
        <f t="shared" si="15"/>
        <v>1.8934911242603551E-2</v>
      </c>
    </row>
    <row r="228" spans="1:19">
      <c r="A228">
        <v>11</v>
      </c>
      <c r="B228" t="s">
        <v>82</v>
      </c>
      <c r="C228">
        <v>4218</v>
      </c>
      <c r="D228" t="s">
        <v>257</v>
      </c>
      <c r="E228">
        <v>488.62</v>
      </c>
      <c r="F228">
        <v>260</v>
      </c>
      <c r="G228">
        <v>246</v>
      </c>
      <c r="H228">
        <v>1399</v>
      </c>
      <c r="I228">
        <v>1.99</v>
      </c>
      <c r="J228">
        <v>128</v>
      </c>
      <c r="K228">
        <v>349</v>
      </c>
      <c r="L228">
        <v>90</v>
      </c>
      <c r="O228" s="1" t="str">
        <f t="shared" si="12"/>
        <v/>
      </c>
      <c r="P228" s="1">
        <f>ROUND((E228*Tidbruk!$J$1)+(G228*Tidbruk!$J$2),0)</f>
        <v>602</v>
      </c>
      <c r="Q228" s="4">
        <f t="shared" si="13"/>
        <v>11</v>
      </c>
      <c r="R228" s="1">
        <f t="shared" si="14"/>
        <v>2</v>
      </c>
      <c r="S228" s="1">
        <f t="shared" si="15"/>
        <v>6.5088757396449702E-3</v>
      </c>
    </row>
    <row r="229" spans="1:19">
      <c r="A229">
        <v>42</v>
      </c>
      <c r="B229" t="s">
        <v>28</v>
      </c>
      <c r="C229">
        <v>4219</v>
      </c>
      <c r="D229" t="s">
        <v>258</v>
      </c>
      <c r="E229">
        <v>936.03</v>
      </c>
      <c r="F229">
        <v>162</v>
      </c>
      <c r="G229">
        <v>549</v>
      </c>
      <c r="H229">
        <v>3828</v>
      </c>
      <c r="I229">
        <v>1.7</v>
      </c>
      <c r="J229">
        <v>153</v>
      </c>
      <c r="K229">
        <v>245</v>
      </c>
      <c r="L229">
        <v>120</v>
      </c>
      <c r="O229" s="1" t="str">
        <f t="shared" si="12"/>
        <v/>
      </c>
      <c r="P229" s="1">
        <f>ROUND((E229*Tidbruk!$J$1)+(G229*Tidbruk!$J$2),0)</f>
        <v>1203</v>
      </c>
      <c r="Q229" s="4">
        <f t="shared" si="13"/>
        <v>21</v>
      </c>
      <c r="R229" s="1">
        <f t="shared" si="14"/>
        <v>3</v>
      </c>
      <c r="S229" s="1">
        <f t="shared" si="15"/>
        <v>1.242603550295858E-2</v>
      </c>
    </row>
    <row r="230" spans="1:19">
      <c r="A230">
        <v>55</v>
      </c>
      <c r="B230" t="s">
        <v>44</v>
      </c>
      <c r="C230">
        <v>4220</v>
      </c>
      <c r="D230" t="s">
        <v>259</v>
      </c>
      <c r="E230">
        <v>1148.18</v>
      </c>
      <c r="F230">
        <v>114</v>
      </c>
      <c r="G230">
        <v>1150</v>
      </c>
      <c r="H230">
        <v>1162</v>
      </c>
      <c r="I230">
        <v>1</v>
      </c>
      <c r="J230">
        <v>248</v>
      </c>
      <c r="K230">
        <v>988</v>
      </c>
      <c r="L230">
        <v>12</v>
      </c>
      <c r="O230" s="1" t="str">
        <f t="shared" si="12"/>
        <v/>
      </c>
      <c r="P230" s="1">
        <f>ROUND((E230*Tidbruk!$J$1)+(G230*Tidbruk!$J$2),0)</f>
        <v>1786</v>
      </c>
      <c r="Q230" s="4">
        <f t="shared" si="13"/>
        <v>30</v>
      </c>
      <c r="R230" s="1">
        <f t="shared" si="14"/>
        <v>4</v>
      </c>
      <c r="S230" s="1">
        <f t="shared" si="15"/>
        <v>1.7751479289940829E-2</v>
      </c>
    </row>
    <row r="231" spans="1:19">
      <c r="A231">
        <v>56</v>
      </c>
      <c r="B231" t="s">
        <v>19</v>
      </c>
      <c r="C231">
        <v>4221</v>
      </c>
      <c r="D231" t="s">
        <v>260</v>
      </c>
      <c r="E231">
        <v>1163.01</v>
      </c>
      <c r="F231">
        <v>109</v>
      </c>
      <c r="G231">
        <v>1130</v>
      </c>
      <c r="H231">
        <v>1205</v>
      </c>
      <c r="I231">
        <v>1.03</v>
      </c>
      <c r="J231">
        <v>244</v>
      </c>
      <c r="K231">
        <v>965</v>
      </c>
      <c r="L231">
        <v>13</v>
      </c>
      <c r="O231" s="1" t="str">
        <f t="shared" si="12"/>
        <v/>
      </c>
      <c r="P231" s="1">
        <f>ROUND((E231*Tidbruk!$J$1)+(G231*Tidbruk!$J$2),0)</f>
        <v>1786</v>
      </c>
      <c r="Q231" s="4">
        <f t="shared" si="13"/>
        <v>30</v>
      </c>
      <c r="R231" s="1">
        <f t="shared" si="14"/>
        <v>4</v>
      </c>
      <c r="S231" s="1">
        <f t="shared" si="15"/>
        <v>1.7751479289940829E-2</v>
      </c>
    </row>
    <row r="232" spans="1:19">
      <c r="A232">
        <v>50</v>
      </c>
      <c r="B232" t="s">
        <v>21</v>
      </c>
      <c r="C232">
        <v>4222</v>
      </c>
      <c r="D232" t="s">
        <v>261</v>
      </c>
      <c r="E232">
        <v>633.15</v>
      </c>
      <c r="F232">
        <v>228</v>
      </c>
      <c r="G232">
        <v>1254</v>
      </c>
      <c r="H232">
        <v>1039</v>
      </c>
      <c r="I232">
        <v>0.5</v>
      </c>
      <c r="J232">
        <v>329</v>
      </c>
      <c r="K232">
        <v>609</v>
      </c>
      <c r="L232">
        <v>33</v>
      </c>
      <c r="O232" s="1" t="str">
        <f t="shared" si="12"/>
        <v/>
      </c>
      <c r="P232" s="1">
        <f>ROUND((E232*Tidbruk!$J$1)+(G232*Tidbruk!$J$2),0)</f>
        <v>1388</v>
      </c>
      <c r="Q232" s="4">
        <f t="shared" si="13"/>
        <v>24</v>
      </c>
      <c r="R232" s="1">
        <f t="shared" si="14"/>
        <v>4</v>
      </c>
      <c r="S232" s="1">
        <f t="shared" si="15"/>
        <v>1.4201183431952662E-2</v>
      </c>
    </row>
    <row r="233" spans="1:19">
      <c r="A233">
        <v>32</v>
      </c>
      <c r="B233" t="s">
        <v>84</v>
      </c>
      <c r="C233">
        <v>4223</v>
      </c>
      <c r="D233" t="s">
        <v>262</v>
      </c>
      <c r="E233">
        <v>1082.58</v>
      </c>
      <c r="F233">
        <v>128</v>
      </c>
      <c r="G233">
        <v>362</v>
      </c>
      <c r="H233">
        <v>15622</v>
      </c>
      <c r="I233">
        <v>2.99</v>
      </c>
      <c r="J233">
        <v>43</v>
      </c>
      <c r="K233">
        <v>69</v>
      </c>
      <c r="L233">
        <v>251</v>
      </c>
      <c r="O233" s="1" t="str">
        <f t="shared" si="12"/>
        <v/>
      </c>
      <c r="P233" s="1">
        <f>ROUND((E233*Tidbruk!$J$1)+(G233*Tidbruk!$J$2),0)</f>
        <v>1214</v>
      </c>
      <c r="Q233" s="4">
        <f t="shared" si="13"/>
        <v>21</v>
      </c>
      <c r="R233" s="1">
        <f t="shared" si="14"/>
        <v>3</v>
      </c>
      <c r="S233" s="1">
        <f t="shared" si="15"/>
        <v>1.242603550295858E-2</v>
      </c>
    </row>
    <row r="234" spans="1:19">
      <c r="A234">
        <v>31</v>
      </c>
      <c r="B234" t="s">
        <v>90</v>
      </c>
      <c r="C234">
        <v>4224</v>
      </c>
      <c r="D234" t="s">
        <v>263</v>
      </c>
      <c r="E234">
        <v>691.46</v>
      </c>
      <c r="F234">
        <v>206</v>
      </c>
      <c r="G234">
        <v>797</v>
      </c>
      <c r="H234">
        <v>915</v>
      </c>
      <c r="I234">
        <v>0.87</v>
      </c>
      <c r="J234">
        <v>271</v>
      </c>
      <c r="K234">
        <v>756</v>
      </c>
      <c r="L234">
        <v>20</v>
      </c>
      <c r="O234" s="1" t="str">
        <f t="shared" si="12"/>
        <v/>
      </c>
      <c r="P234" s="1">
        <f>ROUND((E234*Tidbruk!$J$1)+(G234*Tidbruk!$J$2),0)</f>
        <v>1144</v>
      </c>
      <c r="Q234" s="4">
        <f t="shared" si="13"/>
        <v>20</v>
      </c>
      <c r="R234" s="1">
        <f t="shared" si="14"/>
        <v>3</v>
      </c>
      <c r="S234" s="1">
        <f t="shared" si="15"/>
        <v>1.1834319526627219E-2</v>
      </c>
    </row>
    <row r="235" spans="1:19">
      <c r="A235">
        <v>31</v>
      </c>
      <c r="B235" t="s">
        <v>90</v>
      </c>
      <c r="C235">
        <v>4225</v>
      </c>
      <c r="D235" t="s">
        <v>264</v>
      </c>
      <c r="E235">
        <v>1390.63</v>
      </c>
      <c r="F235">
        <v>76</v>
      </c>
      <c r="G235">
        <v>606</v>
      </c>
      <c r="H235">
        <v>10869</v>
      </c>
      <c r="I235">
        <v>2.29</v>
      </c>
      <c r="J235">
        <v>97</v>
      </c>
      <c r="K235">
        <v>128</v>
      </c>
      <c r="L235">
        <v>185</v>
      </c>
      <c r="O235" s="1" t="str">
        <f t="shared" si="12"/>
        <v/>
      </c>
      <c r="P235" s="1">
        <f>ROUND((E235*Tidbruk!$J$1)+(G235*Tidbruk!$J$2),0)</f>
        <v>1651</v>
      </c>
      <c r="Q235" s="4">
        <f t="shared" si="13"/>
        <v>28</v>
      </c>
      <c r="R235" s="1">
        <f t="shared" si="14"/>
        <v>4</v>
      </c>
      <c r="S235" s="1">
        <f t="shared" si="15"/>
        <v>1.6568047337278107E-2</v>
      </c>
    </row>
    <row r="236" spans="1:19">
      <c r="A236">
        <v>18</v>
      </c>
      <c r="B236" t="s">
        <v>73</v>
      </c>
      <c r="C236">
        <v>4226</v>
      </c>
      <c r="D236" t="s">
        <v>265</v>
      </c>
      <c r="E236">
        <v>671.59</v>
      </c>
      <c r="F236">
        <v>213</v>
      </c>
      <c r="G236">
        <v>424</v>
      </c>
      <c r="H236">
        <v>1786</v>
      </c>
      <c r="I236">
        <v>1.58</v>
      </c>
      <c r="J236">
        <v>170</v>
      </c>
      <c r="K236">
        <v>376</v>
      </c>
      <c r="L236">
        <v>75</v>
      </c>
      <c r="O236" s="1" t="str">
        <f t="shared" si="12"/>
        <v/>
      </c>
      <c r="P236" s="1">
        <f>ROUND((E236*Tidbruk!$J$1)+(G236*Tidbruk!$J$2),0)</f>
        <v>883</v>
      </c>
      <c r="Q236" s="4">
        <f t="shared" si="13"/>
        <v>15</v>
      </c>
      <c r="R236" s="1">
        <f t="shared" si="14"/>
        <v>2</v>
      </c>
      <c r="S236" s="1">
        <f t="shared" si="15"/>
        <v>8.8757396449704144E-3</v>
      </c>
    </row>
    <row r="237" spans="1:19">
      <c r="A237">
        <v>42</v>
      </c>
      <c r="B237" t="s">
        <v>28</v>
      </c>
      <c r="C237">
        <v>4227</v>
      </c>
      <c r="D237" t="s">
        <v>266</v>
      </c>
      <c r="E237">
        <v>1347.36</v>
      </c>
      <c r="F237">
        <v>84</v>
      </c>
      <c r="G237">
        <v>886</v>
      </c>
      <c r="H237">
        <v>6163</v>
      </c>
      <c r="I237">
        <v>1.52</v>
      </c>
      <c r="J237">
        <v>174</v>
      </c>
      <c r="K237">
        <v>219</v>
      </c>
      <c r="L237">
        <v>134</v>
      </c>
      <c r="O237" s="1" t="str">
        <f t="shared" si="12"/>
        <v/>
      </c>
      <c r="P237" s="1">
        <f>ROUND((E237*Tidbruk!$J$1)+(G237*Tidbruk!$J$2),0)</f>
        <v>1794</v>
      </c>
      <c r="Q237" s="4">
        <f t="shared" si="13"/>
        <v>30</v>
      </c>
      <c r="R237" s="1">
        <f t="shared" si="14"/>
        <v>4</v>
      </c>
      <c r="S237" s="1">
        <f t="shared" si="15"/>
        <v>1.7751479289940829E-2</v>
      </c>
    </row>
    <row r="238" spans="1:19">
      <c r="A238">
        <v>18</v>
      </c>
      <c r="B238" t="s">
        <v>73</v>
      </c>
      <c r="C238">
        <v>4228</v>
      </c>
      <c r="D238" t="s">
        <v>267</v>
      </c>
      <c r="E238">
        <v>1082.7</v>
      </c>
      <c r="F238">
        <v>127</v>
      </c>
      <c r="G238">
        <v>1373</v>
      </c>
      <c r="H238">
        <v>1902</v>
      </c>
      <c r="I238">
        <v>0.79</v>
      </c>
      <c r="J238">
        <v>288</v>
      </c>
      <c r="K238">
        <v>569</v>
      </c>
      <c r="L238">
        <v>37</v>
      </c>
      <c r="O238" s="1" t="str">
        <f t="shared" si="12"/>
        <v/>
      </c>
      <c r="P238" s="1">
        <f>ROUND((E238*Tidbruk!$J$1)+(G238*Tidbruk!$J$2),0)</f>
        <v>1872</v>
      </c>
      <c r="Q238" s="4">
        <f t="shared" si="13"/>
        <v>32</v>
      </c>
      <c r="R238" s="1">
        <f t="shared" si="14"/>
        <v>5</v>
      </c>
      <c r="S238" s="1">
        <f t="shared" si="15"/>
        <v>1.8934911242603551E-2</v>
      </c>
    </row>
    <row r="239" spans="1:19">
      <c r="A239">
        <v>32</v>
      </c>
      <c r="B239" t="s">
        <v>84</v>
      </c>
      <c r="C239">
        <v>4601</v>
      </c>
      <c r="D239" t="s">
        <v>268</v>
      </c>
      <c r="E239">
        <v>1711.47</v>
      </c>
      <c r="F239">
        <v>53</v>
      </c>
      <c r="G239">
        <v>445</v>
      </c>
      <c r="H239">
        <v>293709</v>
      </c>
      <c r="I239">
        <v>3.85</v>
      </c>
      <c r="J239">
        <v>8</v>
      </c>
      <c r="K239">
        <v>6</v>
      </c>
      <c r="L239">
        <v>352</v>
      </c>
      <c r="O239" s="1" t="str">
        <f t="shared" si="12"/>
        <v/>
      </c>
      <c r="P239" s="1">
        <f>ROUND((E239*Tidbruk!$J$1)+(G239*Tidbruk!$J$2),0)</f>
        <v>1836</v>
      </c>
      <c r="Q239" s="4">
        <f t="shared" si="13"/>
        <v>31</v>
      </c>
      <c r="R239" s="1">
        <f t="shared" si="14"/>
        <v>5</v>
      </c>
      <c r="S239" s="1">
        <f t="shared" si="15"/>
        <v>1.8343195266272188E-2</v>
      </c>
    </row>
    <row r="240" spans="1:19">
      <c r="A240">
        <v>46</v>
      </c>
      <c r="B240" t="s">
        <v>32</v>
      </c>
      <c r="C240">
        <v>4602</v>
      </c>
      <c r="D240" t="s">
        <v>269</v>
      </c>
      <c r="E240">
        <v>954.96</v>
      </c>
      <c r="F240">
        <v>159</v>
      </c>
      <c r="G240">
        <v>763</v>
      </c>
      <c r="H240">
        <v>17419</v>
      </c>
      <c r="I240">
        <v>1.25</v>
      </c>
      <c r="J240">
        <v>212</v>
      </c>
      <c r="K240">
        <v>55</v>
      </c>
      <c r="L240">
        <v>268</v>
      </c>
      <c r="O240" s="1" t="str">
        <f t="shared" si="12"/>
        <v/>
      </c>
      <c r="P240" s="1">
        <f>ROUND((E240*Tidbruk!$J$1)+(G240*Tidbruk!$J$2),0)</f>
        <v>1360</v>
      </c>
      <c r="Q240" s="4">
        <f t="shared" si="13"/>
        <v>23</v>
      </c>
      <c r="R240" s="1">
        <f t="shared" si="14"/>
        <v>4</v>
      </c>
      <c r="S240" s="1">
        <f t="shared" si="15"/>
        <v>1.3609467455621301E-2</v>
      </c>
    </row>
    <row r="241" spans="1:19">
      <c r="A241">
        <v>46</v>
      </c>
      <c r="B241" t="s">
        <v>32</v>
      </c>
      <c r="C241">
        <v>4611</v>
      </c>
      <c r="D241" t="s">
        <v>270</v>
      </c>
      <c r="E241">
        <v>1158.58</v>
      </c>
      <c r="F241">
        <v>111</v>
      </c>
      <c r="G241">
        <v>691</v>
      </c>
      <c r="H241">
        <v>4093</v>
      </c>
      <c r="I241">
        <v>1.68</v>
      </c>
      <c r="J241">
        <v>158</v>
      </c>
      <c r="K241">
        <v>283</v>
      </c>
      <c r="L241">
        <v>106</v>
      </c>
      <c r="O241" s="1" t="str">
        <f t="shared" si="12"/>
        <v/>
      </c>
      <c r="P241" s="1">
        <f>ROUND((E241*Tidbruk!$J$1)+(G241*Tidbruk!$J$2),0)</f>
        <v>1497</v>
      </c>
      <c r="Q241" s="4">
        <f t="shared" si="13"/>
        <v>25</v>
      </c>
      <c r="R241" s="1">
        <f t="shared" si="14"/>
        <v>4</v>
      </c>
      <c r="S241" s="1">
        <f t="shared" si="15"/>
        <v>1.4792899408284023E-2</v>
      </c>
    </row>
    <row r="242" spans="1:19">
      <c r="A242">
        <v>46</v>
      </c>
      <c r="B242" t="s">
        <v>32</v>
      </c>
      <c r="C242">
        <v>4612</v>
      </c>
      <c r="D242" t="s">
        <v>271</v>
      </c>
      <c r="E242">
        <v>690.69</v>
      </c>
      <c r="F242">
        <v>207</v>
      </c>
      <c r="G242">
        <v>224</v>
      </c>
      <c r="H242">
        <v>5752</v>
      </c>
      <c r="I242">
        <v>3.08</v>
      </c>
      <c r="J242">
        <v>41</v>
      </c>
      <c r="K242">
        <v>120</v>
      </c>
      <c r="L242">
        <v>194</v>
      </c>
      <c r="O242" s="1" t="str">
        <f t="shared" si="12"/>
        <v/>
      </c>
      <c r="P242" s="1">
        <f>ROUND((E242*Tidbruk!$J$1)+(G242*Tidbruk!$J$2),0)</f>
        <v>770</v>
      </c>
      <c r="Q242" s="4">
        <f t="shared" si="13"/>
        <v>13</v>
      </c>
      <c r="R242" s="1">
        <f t="shared" si="14"/>
        <v>2</v>
      </c>
      <c r="S242" s="1">
        <f t="shared" si="15"/>
        <v>7.6923076923076927E-3</v>
      </c>
    </row>
    <row r="243" spans="1:19">
      <c r="A243">
        <v>46</v>
      </c>
      <c r="B243" t="s">
        <v>32</v>
      </c>
      <c r="C243">
        <v>4613</v>
      </c>
      <c r="D243" t="s">
        <v>272</v>
      </c>
      <c r="E243">
        <v>567.12</v>
      </c>
      <c r="F243">
        <v>240</v>
      </c>
      <c r="G243">
        <v>236</v>
      </c>
      <c r="H243">
        <v>12365</v>
      </c>
      <c r="I243">
        <v>2.4</v>
      </c>
      <c r="J243">
        <v>87</v>
      </c>
      <c r="K243">
        <v>46</v>
      </c>
      <c r="L243">
        <v>281</v>
      </c>
      <c r="O243" s="1" t="str">
        <f t="shared" si="12"/>
        <v/>
      </c>
      <c r="P243" s="1">
        <f>ROUND((E243*Tidbruk!$J$1)+(G243*Tidbruk!$J$2),0)</f>
        <v>666</v>
      </c>
      <c r="Q243" s="4">
        <f t="shared" si="13"/>
        <v>12</v>
      </c>
      <c r="R243" s="1">
        <f t="shared" si="14"/>
        <v>2</v>
      </c>
      <c r="S243" s="1">
        <f t="shared" si="15"/>
        <v>7.100591715976331E-3</v>
      </c>
    </row>
    <row r="244" spans="1:19">
      <c r="A244">
        <v>50</v>
      </c>
      <c r="B244" t="s">
        <v>21</v>
      </c>
      <c r="C244">
        <v>4614</v>
      </c>
      <c r="D244" t="s">
        <v>273</v>
      </c>
      <c r="E244">
        <v>470.6</v>
      </c>
      <c r="F244">
        <v>263</v>
      </c>
      <c r="G244">
        <v>137</v>
      </c>
      <c r="H244">
        <v>19350</v>
      </c>
      <c r="I244">
        <v>3.44</v>
      </c>
      <c r="J244">
        <v>25</v>
      </c>
      <c r="K244">
        <v>24</v>
      </c>
      <c r="L244">
        <v>316</v>
      </c>
      <c r="O244" s="1" t="str">
        <f t="shared" si="12"/>
        <v/>
      </c>
      <c r="P244" s="1">
        <f>ROUND((E244*Tidbruk!$J$1)+(G244*Tidbruk!$J$2),0)</f>
        <v>514</v>
      </c>
      <c r="Q244" s="4">
        <f t="shared" si="13"/>
        <v>9</v>
      </c>
      <c r="R244" s="1">
        <f t="shared" si="14"/>
        <v>2</v>
      </c>
      <c r="S244" s="1">
        <f t="shared" si="15"/>
        <v>5.3254437869822485E-3</v>
      </c>
    </row>
    <row r="245" spans="1:19">
      <c r="A245">
        <v>15</v>
      </c>
      <c r="B245" t="s">
        <v>94</v>
      </c>
      <c r="C245">
        <v>4615</v>
      </c>
      <c r="D245" t="s">
        <v>274</v>
      </c>
      <c r="E245">
        <v>439.6</v>
      </c>
      <c r="F245">
        <v>272</v>
      </c>
      <c r="G245">
        <v>135</v>
      </c>
      <c r="H245">
        <v>3208</v>
      </c>
      <c r="I245">
        <v>3.26</v>
      </c>
      <c r="J245">
        <v>32</v>
      </c>
      <c r="K245">
        <v>137</v>
      </c>
      <c r="L245">
        <v>175</v>
      </c>
      <c r="O245" s="1" t="str">
        <f t="shared" si="12"/>
        <v/>
      </c>
      <c r="P245" s="1">
        <f>ROUND((E245*Tidbruk!$J$1)+(G245*Tidbruk!$J$2),0)</f>
        <v>485</v>
      </c>
      <c r="Q245" s="4">
        <f t="shared" si="13"/>
        <v>9</v>
      </c>
      <c r="R245" s="1">
        <f t="shared" si="14"/>
        <v>2</v>
      </c>
      <c r="S245" s="1">
        <f t="shared" si="15"/>
        <v>5.3254437869822485E-3</v>
      </c>
    </row>
    <row r="246" spans="1:19">
      <c r="A246">
        <v>46</v>
      </c>
      <c r="B246" t="s">
        <v>32</v>
      </c>
      <c r="C246">
        <v>4616</v>
      </c>
      <c r="D246" t="s">
        <v>275</v>
      </c>
      <c r="E246">
        <v>640.20000000000005</v>
      </c>
      <c r="F246">
        <v>225</v>
      </c>
      <c r="G246">
        <v>245</v>
      </c>
      <c r="H246">
        <v>2986</v>
      </c>
      <c r="I246">
        <v>2.61</v>
      </c>
      <c r="J246">
        <v>71</v>
      </c>
      <c r="K246">
        <v>214</v>
      </c>
      <c r="L246">
        <v>136</v>
      </c>
      <c r="O246" s="1" t="str">
        <f t="shared" si="12"/>
        <v/>
      </c>
      <c r="P246" s="1">
        <f>ROUND((E246*Tidbruk!$J$1)+(G246*Tidbruk!$J$2),0)</f>
        <v>738</v>
      </c>
      <c r="Q246" s="4">
        <f t="shared" si="13"/>
        <v>13</v>
      </c>
      <c r="R246" s="1">
        <f t="shared" si="14"/>
        <v>2</v>
      </c>
      <c r="S246" s="1">
        <f t="shared" si="15"/>
        <v>7.6923076923076927E-3</v>
      </c>
    </row>
    <row r="247" spans="1:19">
      <c r="A247">
        <v>50</v>
      </c>
      <c r="B247" t="s">
        <v>21</v>
      </c>
      <c r="C247">
        <v>4617</v>
      </c>
      <c r="D247" t="s">
        <v>276</v>
      </c>
      <c r="E247">
        <v>1118.43</v>
      </c>
      <c r="F247">
        <v>120</v>
      </c>
      <c r="G247">
        <v>1042</v>
      </c>
      <c r="H247">
        <v>13175</v>
      </c>
      <c r="I247">
        <v>1.07</v>
      </c>
      <c r="J247">
        <v>236</v>
      </c>
      <c r="K247">
        <v>85</v>
      </c>
      <c r="L247">
        <v>235</v>
      </c>
      <c r="O247" s="1" t="str">
        <f t="shared" si="12"/>
        <v/>
      </c>
      <c r="P247" s="1">
        <f>ROUND((E247*Tidbruk!$J$1)+(G247*Tidbruk!$J$2),0)</f>
        <v>1689</v>
      </c>
      <c r="Q247" s="4">
        <f t="shared" si="13"/>
        <v>29</v>
      </c>
      <c r="R247" s="1">
        <f t="shared" si="14"/>
        <v>4</v>
      </c>
      <c r="S247" s="1">
        <f t="shared" si="15"/>
        <v>1.7159763313609466E-2</v>
      </c>
    </row>
    <row r="248" spans="1:19">
      <c r="A248">
        <v>15</v>
      </c>
      <c r="B248" t="s">
        <v>94</v>
      </c>
      <c r="C248">
        <v>4618</v>
      </c>
      <c r="D248" t="s">
        <v>277</v>
      </c>
      <c r="E248">
        <v>2631.96</v>
      </c>
      <c r="F248">
        <v>12</v>
      </c>
      <c r="G248">
        <v>2962</v>
      </c>
      <c r="H248">
        <v>10981</v>
      </c>
      <c r="I248">
        <v>0.89</v>
      </c>
      <c r="J248">
        <v>266</v>
      </c>
      <c r="K248">
        <v>240</v>
      </c>
      <c r="L248">
        <v>125</v>
      </c>
      <c r="O248" s="1" t="str">
        <f t="shared" si="12"/>
        <v/>
      </c>
      <c r="P248" s="1">
        <f>ROUND((E248*Tidbruk!$J$1)+(G248*Tidbruk!$J$2),0)</f>
        <v>4306</v>
      </c>
      <c r="Q248" s="4">
        <f t="shared" si="13"/>
        <v>72</v>
      </c>
      <c r="R248" s="1">
        <f t="shared" si="14"/>
        <v>10</v>
      </c>
      <c r="S248" s="1">
        <f t="shared" si="15"/>
        <v>4.2603550295857988E-2</v>
      </c>
    </row>
    <row r="249" spans="1:19">
      <c r="A249">
        <v>40</v>
      </c>
      <c r="B249" t="s">
        <v>39</v>
      </c>
      <c r="C249">
        <v>4619</v>
      </c>
      <c r="D249" t="s">
        <v>278</v>
      </c>
      <c r="E249">
        <v>1132.5999999999999</v>
      </c>
      <c r="F249">
        <v>117</v>
      </c>
      <c r="G249">
        <v>1388</v>
      </c>
      <c r="H249">
        <v>967</v>
      </c>
      <c r="I249">
        <v>0.82</v>
      </c>
      <c r="J249">
        <v>281</v>
      </c>
      <c r="K249">
        <v>1171</v>
      </c>
      <c r="L249">
        <v>7</v>
      </c>
      <c r="O249" s="1" t="str">
        <f t="shared" si="12"/>
        <v/>
      </c>
      <c r="P249" s="1">
        <f>ROUND((E249*Tidbruk!$J$1)+(G249*Tidbruk!$J$2),0)</f>
        <v>1927</v>
      </c>
      <c r="Q249" s="4">
        <f t="shared" si="13"/>
        <v>33</v>
      </c>
      <c r="R249" s="1">
        <f t="shared" si="14"/>
        <v>5</v>
      </c>
      <c r="S249" s="1">
        <f t="shared" si="15"/>
        <v>1.952662721893491E-2</v>
      </c>
    </row>
    <row r="250" spans="1:19">
      <c r="A250">
        <v>18</v>
      </c>
      <c r="B250" t="s">
        <v>73</v>
      </c>
      <c r="C250">
        <v>4620</v>
      </c>
      <c r="D250" t="s">
        <v>279</v>
      </c>
      <c r="E250">
        <v>493.29</v>
      </c>
      <c r="F250">
        <v>256</v>
      </c>
      <c r="G250">
        <v>663</v>
      </c>
      <c r="H250">
        <v>1100</v>
      </c>
      <c r="I250">
        <v>0.74</v>
      </c>
      <c r="J250">
        <v>293</v>
      </c>
      <c r="K250">
        <v>448</v>
      </c>
      <c r="L250">
        <v>60</v>
      </c>
      <c r="O250" s="1" t="str">
        <f t="shared" si="12"/>
        <v/>
      </c>
      <c r="P250" s="1">
        <f>ROUND((E250*Tidbruk!$J$1)+(G250*Tidbruk!$J$2),0)</f>
        <v>877</v>
      </c>
      <c r="Q250" s="4">
        <f t="shared" si="13"/>
        <v>15</v>
      </c>
      <c r="R250" s="1">
        <f t="shared" si="14"/>
        <v>2</v>
      </c>
      <c r="S250" s="1">
        <f t="shared" si="15"/>
        <v>8.8757396449704144E-3</v>
      </c>
    </row>
    <row r="251" spans="1:19">
      <c r="A251">
        <v>46</v>
      </c>
      <c r="B251" t="s">
        <v>32</v>
      </c>
      <c r="C251">
        <v>4621</v>
      </c>
      <c r="D251" t="s">
        <v>280</v>
      </c>
      <c r="E251">
        <v>2587.84</v>
      </c>
      <c r="F251">
        <v>14</v>
      </c>
      <c r="G251">
        <v>1958</v>
      </c>
      <c r="H251">
        <v>16436</v>
      </c>
      <c r="I251">
        <v>1.32</v>
      </c>
      <c r="J251">
        <v>202</v>
      </c>
      <c r="K251">
        <v>157</v>
      </c>
      <c r="L251">
        <v>163</v>
      </c>
      <c r="O251" s="1" t="str">
        <f t="shared" si="12"/>
        <v/>
      </c>
      <c r="P251" s="1">
        <f>ROUND((E251*Tidbruk!$J$1)+(G251*Tidbruk!$J$2),0)</f>
        <v>3613</v>
      </c>
      <c r="Q251" s="4">
        <f t="shared" si="13"/>
        <v>61</v>
      </c>
      <c r="R251" s="1">
        <f t="shared" si="14"/>
        <v>9</v>
      </c>
      <c r="S251" s="1">
        <f t="shared" si="15"/>
        <v>3.609467455621302E-2</v>
      </c>
    </row>
    <row r="252" spans="1:19">
      <c r="A252">
        <v>46</v>
      </c>
      <c r="B252" t="s">
        <v>32</v>
      </c>
      <c r="C252">
        <v>4622</v>
      </c>
      <c r="D252" t="s">
        <v>281</v>
      </c>
      <c r="E252">
        <v>1250.23</v>
      </c>
      <c r="F252">
        <v>100</v>
      </c>
      <c r="G252">
        <v>580</v>
      </c>
      <c r="H252">
        <v>8517</v>
      </c>
      <c r="I252">
        <v>2.16</v>
      </c>
      <c r="J252">
        <v>109</v>
      </c>
      <c r="K252">
        <v>147</v>
      </c>
      <c r="L252">
        <v>168</v>
      </c>
      <c r="O252" s="1" t="str">
        <f t="shared" si="12"/>
        <v/>
      </c>
      <c r="P252" s="1">
        <f>ROUND((E252*Tidbruk!$J$1)+(G252*Tidbruk!$J$2),0)</f>
        <v>1507</v>
      </c>
      <c r="Q252" s="4">
        <f t="shared" si="13"/>
        <v>26</v>
      </c>
      <c r="R252" s="1">
        <f t="shared" si="14"/>
        <v>4</v>
      </c>
      <c r="S252" s="1">
        <f t="shared" si="15"/>
        <v>1.5384615384615385E-2</v>
      </c>
    </row>
    <row r="253" spans="1:19">
      <c r="A253">
        <v>34</v>
      </c>
      <c r="B253" t="s">
        <v>25</v>
      </c>
      <c r="C253">
        <v>4623</v>
      </c>
      <c r="D253" t="s">
        <v>282</v>
      </c>
      <c r="E253">
        <v>320.94</v>
      </c>
      <c r="F253">
        <v>296</v>
      </c>
      <c r="G253">
        <v>257</v>
      </c>
      <c r="H253">
        <v>2491</v>
      </c>
      <c r="I253">
        <v>1.25</v>
      </c>
      <c r="J253">
        <v>212</v>
      </c>
      <c r="K253">
        <v>129</v>
      </c>
      <c r="L253">
        <v>183</v>
      </c>
      <c r="O253" s="1" t="str">
        <f t="shared" si="12"/>
        <v/>
      </c>
      <c r="P253" s="1">
        <f>ROUND((E253*Tidbruk!$J$1)+(G253*Tidbruk!$J$2),0)</f>
        <v>457</v>
      </c>
      <c r="Q253" s="4">
        <f t="shared" si="13"/>
        <v>8</v>
      </c>
      <c r="R253" s="1">
        <f t="shared" si="14"/>
        <v>2</v>
      </c>
      <c r="S253" s="1">
        <f t="shared" si="15"/>
        <v>4.7337278106508876E-3</v>
      </c>
    </row>
    <row r="254" spans="1:19">
      <c r="A254">
        <v>15</v>
      </c>
      <c r="B254" t="s">
        <v>94</v>
      </c>
      <c r="C254">
        <v>4624</v>
      </c>
      <c r="D254" t="s">
        <v>283</v>
      </c>
      <c r="E254">
        <v>975.99</v>
      </c>
      <c r="F254">
        <v>150</v>
      </c>
      <c r="G254">
        <v>487</v>
      </c>
      <c r="H254">
        <v>26342</v>
      </c>
      <c r="I254">
        <v>2</v>
      </c>
      <c r="J254">
        <v>126</v>
      </c>
      <c r="K254">
        <v>37</v>
      </c>
      <c r="L254">
        <v>298</v>
      </c>
      <c r="O254" s="1" t="str">
        <f t="shared" si="12"/>
        <v/>
      </c>
      <c r="P254" s="1">
        <f>ROUND((E254*Tidbruk!$J$1)+(G254*Tidbruk!$J$2),0)</f>
        <v>1199</v>
      </c>
      <c r="Q254" s="4">
        <f t="shared" si="13"/>
        <v>20</v>
      </c>
      <c r="R254" s="1">
        <f t="shared" si="14"/>
        <v>3</v>
      </c>
      <c r="S254" s="1">
        <f t="shared" si="15"/>
        <v>1.1834319526627219E-2</v>
      </c>
    </row>
    <row r="255" spans="1:19">
      <c r="A255">
        <v>42</v>
      </c>
      <c r="B255" t="s">
        <v>28</v>
      </c>
      <c r="C255">
        <v>4625</v>
      </c>
      <c r="D255" t="s">
        <v>284</v>
      </c>
      <c r="E255">
        <v>210.14</v>
      </c>
      <c r="F255">
        <v>325</v>
      </c>
      <c r="G255">
        <v>114</v>
      </c>
      <c r="H255">
        <v>5437</v>
      </c>
      <c r="I255">
        <v>1.84</v>
      </c>
      <c r="J255">
        <v>140</v>
      </c>
      <c r="K255">
        <v>39</v>
      </c>
      <c r="L255">
        <v>294</v>
      </c>
      <c r="O255" s="1" t="str">
        <f t="shared" si="12"/>
        <v/>
      </c>
      <c r="P255" s="1">
        <f>ROUND((E255*Tidbruk!$J$1)+(G255*Tidbruk!$J$2),0)</f>
        <v>264</v>
      </c>
      <c r="Q255" s="4">
        <f t="shared" si="13"/>
        <v>5</v>
      </c>
      <c r="R255" s="1">
        <f t="shared" si="14"/>
        <v>1</v>
      </c>
      <c r="S255" s="1">
        <f t="shared" si="15"/>
        <v>2.9585798816568047E-3</v>
      </c>
    </row>
    <row r="256" spans="1:19">
      <c r="A256">
        <v>55</v>
      </c>
      <c r="B256" t="s">
        <v>44</v>
      </c>
      <c r="C256">
        <v>4626</v>
      </c>
      <c r="D256" t="s">
        <v>285</v>
      </c>
      <c r="E256">
        <v>971.5</v>
      </c>
      <c r="F256">
        <v>152</v>
      </c>
      <c r="G256">
        <v>300</v>
      </c>
      <c r="H256">
        <v>40105</v>
      </c>
      <c r="I256">
        <v>3.24</v>
      </c>
      <c r="J256">
        <v>35</v>
      </c>
      <c r="K256">
        <v>24</v>
      </c>
      <c r="L256">
        <v>316</v>
      </c>
      <c r="O256" s="1" t="str">
        <f t="shared" si="12"/>
        <v/>
      </c>
      <c r="P256" s="1">
        <f>ROUND((E256*Tidbruk!$J$1)+(G256*Tidbruk!$J$2),0)</f>
        <v>1073</v>
      </c>
      <c r="Q256" s="4">
        <f t="shared" si="13"/>
        <v>18</v>
      </c>
      <c r="R256" s="1">
        <f t="shared" si="14"/>
        <v>3</v>
      </c>
      <c r="S256" s="1">
        <f t="shared" si="15"/>
        <v>1.0650887573964497E-2</v>
      </c>
    </row>
    <row r="257" spans="1:19">
      <c r="A257">
        <v>46</v>
      </c>
      <c r="B257" t="s">
        <v>32</v>
      </c>
      <c r="C257">
        <v>4627</v>
      </c>
      <c r="D257" t="s">
        <v>286</v>
      </c>
      <c r="E257">
        <v>416.14</v>
      </c>
      <c r="F257">
        <v>279</v>
      </c>
      <c r="G257">
        <v>94</v>
      </c>
      <c r="H257">
        <v>30377</v>
      </c>
      <c r="I257">
        <v>4.43</v>
      </c>
      <c r="J257">
        <v>3</v>
      </c>
      <c r="K257">
        <v>14</v>
      </c>
      <c r="L257">
        <v>334</v>
      </c>
      <c r="O257" s="1" t="str">
        <f t="shared" si="12"/>
        <v/>
      </c>
      <c r="P257" s="1">
        <f>ROUND((E257*Tidbruk!$J$1)+(G257*Tidbruk!$J$2),0)</f>
        <v>437</v>
      </c>
      <c r="Q257" s="4">
        <f t="shared" si="13"/>
        <v>8</v>
      </c>
      <c r="R257" s="1">
        <f t="shared" si="14"/>
        <v>2</v>
      </c>
      <c r="S257" s="1">
        <f t="shared" si="15"/>
        <v>4.7337278106508876E-3</v>
      </c>
    </row>
    <row r="258" spans="1:19">
      <c r="A258">
        <v>32</v>
      </c>
      <c r="B258" t="s">
        <v>84</v>
      </c>
      <c r="C258">
        <v>4628</v>
      </c>
      <c r="D258" t="s">
        <v>287</v>
      </c>
      <c r="E258">
        <v>564.91999999999996</v>
      </c>
      <c r="F258">
        <v>241</v>
      </c>
      <c r="G258">
        <v>682</v>
      </c>
      <c r="H258">
        <v>3875</v>
      </c>
      <c r="I258">
        <v>0.83</v>
      </c>
      <c r="J258">
        <v>280</v>
      </c>
      <c r="K258">
        <v>146</v>
      </c>
      <c r="L258">
        <v>171</v>
      </c>
      <c r="O258" s="1" t="str">
        <f t="shared" ref="O258:O321" si="16">IF(N258&gt;0,ROUND((N258-E258)/E258*100,1),"")</f>
        <v/>
      </c>
      <c r="P258" s="1">
        <f>ROUND((E258*Tidbruk!$J$1)+(G258*Tidbruk!$J$2),0)</f>
        <v>954</v>
      </c>
      <c r="Q258" s="4">
        <f t="shared" si="13"/>
        <v>16</v>
      </c>
      <c r="R258" s="1">
        <f t="shared" si="14"/>
        <v>3</v>
      </c>
      <c r="S258" s="1">
        <f t="shared" si="15"/>
        <v>9.4674556213017753E-3</v>
      </c>
    </row>
    <row r="259" spans="1:19">
      <c r="A259">
        <v>34</v>
      </c>
      <c r="B259" t="s">
        <v>25</v>
      </c>
      <c r="C259">
        <v>4629</v>
      </c>
      <c r="D259" t="s">
        <v>288</v>
      </c>
      <c r="E259">
        <v>247.66</v>
      </c>
      <c r="F259">
        <v>313</v>
      </c>
      <c r="G259">
        <v>379</v>
      </c>
      <c r="H259">
        <v>392</v>
      </c>
      <c r="I259">
        <v>0.65</v>
      </c>
      <c r="J259">
        <v>306</v>
      </c>
      <c r="K259">
        <v>632</v>
      </c>
      <c r="L259">
        <v>30</v>
      </c>
      <c r="O259" s="1" t="str">
        <f t="shared" si="16"/>
        <v/>
      </c>
      <c r="P259" s="1">
        <f>ROUND((E259*Tidbruk!$J$1)+(G259*Tidbruk!$J$2),0)</f>
        <v>470</v>
      </c>
      <c r="Q259" s="4">
        <f t="shared" ref="Q259:Q322" si="17">ROUNDUP(P259/60,0)</f>
        <v>8</v>
      </c>
      <c r="R259" s="1">
        <f t="shared" ref="R259:R322" si="18">ROUNDUP(Q259/7.5,0)</f>
        <v>2</v>
      </c>
      <c r="S259" s="1">
        <f t="shared" ref="S259:S322" si="19">Q259/1690</f>
        <v>4.7337278106508876E-3</v>
      </c>
    </row>
    <row r="260" spans="1:19">
      <c r="A260">
        <v>50</v>
      </c>
      <c r="B260" t="s">
        <v>21</v>
      </c>
      <c r="C260">
        <v>4630</v>
      </c>
      <c r="D260" t="s">
        <v>289</v>
      </c>
      <c r="E260">
        <v>801.64</v>
      </c>
      <c r="F260">
        <v>189</v>
      </c>
      <c r="G260">
        <v>244</v>
      </c>
      <c r="H260">
        <v>8172</v>
      </c>
      <c r="I260">
        <v>3.29</v>
      </c>
      <c r="J260">
        <v>31</v>
      </c>
      <c r="K260">
        <v>98</v>
      </c>
      <c r="L260">
        <v>217</v>
      </c>
      <c r="O260" s="1" t="str">
        <f t="shared" si="16"/>
        <v/>
      </c>
      <c r="P260" s="1">
        <f>ROUND((E260*Tidbruk!$J$1)+(G260*Tidbruk!$J$2),0)</f>
        <v>883</v>
      </c>
      <c r="Q260" s="4">
        <f t="shared" si="17"/>
        <v>15</v>
      </c>
      <c r="R260" s="1">
        <f t="shared" si="18"/>
        <v>2</v>
      </c>
      <c r="S260" s="1">
        <f t="shared" si="19"/>
        <v>8.8757396449704144E-3</v>
      </c>
    </row>
    <row r="261" spans="1:19">
      <c r="A261">
        <v>42</v>
      </c>
      <c r="B261" t="s">
        <v>28</v>
      </c>
      <c r="C261">
        <v>4631</v>
      </c>
      <c r="D261" t="s">
        <v>290</v>
      </c>
      <c r="E261">
        <v>1977.05</v>
      </c>
      <c r="F261">
        <v>39</v>
      </c>
      <c r="G261">
        <v>651</v>
      </c>
      <c r="H261">
        <v>30169</v>
      </c>
      <c r="I261">
        <v>3.04</v>
      </c>
      <c r="J261">
        <v>42</v>
      </c>
      <c r="K261">
        <v>66</v>
      </c>
      <c r="L261">
        <v>255</v>
      </c>
      <c r="O261" s="1" t="str">
        <f t="shared" si="16"/>
        <v/>
      </c>
      <c r="P261" s="1">
        <f>ROUND((E261*Tidbruk!$J$1)+(G261*Tidbruk!$J$2),0)</f>
        <v>2210</v>
      </c>
      <c r="Q261" s="4">
        <f t="shared" si="17"/>
        <v>37</v>
      </c>
      <c r="R261" s="1">
        <f t="shared" si="18"/>
        <v>5</v>
      </c>
      <c r="S261" s="1">
        <f t="shared" si="19"/>
        <v>2.1893491124260357E-2</v>
      </c>
    </row>
    <row r="262" spans="1:19">
      <c r="A262">
        <v>55</v>
      </c>
      <c r="B262" t="s">
        <v>44</v>
      </c>
      <c r="C262">
        <v>4632</v>
      </c>
      <c r="D262" t="s">
        <v>291</v>
      </c>
      <c r="E262">
        <v>207.18</v>
      </c>
      <c r="F262">
        <v>330</v>
      </c>
      <c r="G262">
        <v>57</v>
      </c>
      <c r="H262">
        <v>2915</v>
      </c>
      <c r="I262">
        <v>3.63</v>
      </c>
      <c r="J262">
        <v>17</v>
      </c>
      <c r="K262">
        <v>71</v>
      </c>
      <c r="L262">
        <v>247</v>
      </c>
      <c r="O262" s="1" t="str">
        <f t="shared" si="16"/>
        <v/>
      </c>
      <c r="P262" s="1">
        <f>ROUND((E262*Tidbruk!$J$1)+(G262*Tidbruk!$J$2),0)</f>
        <v>224</v>
      </c>
      <c r="Q262" s="4">
        <f t="shared" si="17"/>
        <v>4</v>
      </c>
      <c r="R262" s="1">
        <f t="shared" si="18"/>
        <v>1</v>
      </c>
      <c r="S262" s="1">
        <f t="shared" si="19"/>
        <v>2.3668639053254438E-3</v>
      </c>
    </row>
    <row r="263" spans="1:19">
      <c r="A263">
        <v>18</v>
      </c>
      <c r="B263" t="s">
        <v>73</v>
      </c>
      <c r="C263">
        <v>4633</v>
      </c>
      <c r="D263" t="s">
        <v>292</v>
      </c>
      <c r="E263">
        <v>46.72</v>
      </c>
      <c r="F263">
        <v>352</v>
      </c>
      <c r="G263">
        <v>9</v>
      </c>
      <c r="H263">
        <v>521</v>
      </c>
      <c r="I263">
        <v>5.19</v>
      </c>
      <c r="J263">
        <v>1</v>
      </c>
      <c r="K263">
        <v>90</v>
      </c>
      <c r="L263">
        <v>228</v>
      </c>
      <c r="O263" s="1" t="str">
        <f t="shared" si="16"/>
        <v/>
      </c>
      <c r="P263" s="1">
        <f>ROUND((E263*Tidbruk!$J$1)+(G263*Tidbruk!$J$2),0)</f>
        <v>48</v>
      </c>
      <c r="Q263" s="4">
        <f t="shared" si="17"/>
        <v>1</v>
      </c>
      <c r="R263" s="1">
        <f t="shared" si="18"/>
        <v>1</v>
      </c>
      <c r="S263" s="1">
        <f t="shared" si="19"/>
        <v>5.9171597633136095E-4</v>
      </c>
    </row>
    <row r="264" spans="1:19">
      <c r="A264">
        <v>46</v>
      </c>
      <c r="B264" t="s">
        <v>32</v>
      </c>
      <c r="C264">
        <v>4634</v>
      </c>
      <c r="D264" t="s">
        <v>293</v>
      </c>
      <c r="E264">
        <v>503.95</v>
      </c>
      <c r="F264">
        <v>250</v>
      </c>
      <c r="G264">
        <v>509</v>
      </c>
      <c r="H264">
        <v>1687</v>
      </c>
      <c r="I264">
        <v>0.99</v>
      </c>
      <c r="J264">
        <v>249</v>
      </c>
      <c r="K264">
        <v>299</v>
      </c>
      <c r="L264">
        <v>102</v>
      </c>
      <c r="O264" s="1" t="str">
        <f t="shared" si="16"/>
        <v/>
      </c>
      <c r="P264" s="1">
        <f>ROUND((E264*Tidbruk!$J$1)+(G264*Tidbruk!$J$2),0)</f>
        <v>787</v>
      </c>
      <c r="Q264" s="4">
        <f t="shared" si="17"/>
        <v>14</v>
      </c>
      <c r="R264" s="1">
        <f t="shared" si="18"/>
        <v>2</v>
      </c>
      <c r="S264" s="1">
        <f t="shared" si="19"/>
        <v>8.2840236686390536E-3</v>
      </c>
    </row>
    <row r="265" spans="1:19">
      <c r="A265">
        <v>56</v>
      </c>
      <c r="B265" t="s">
        <v>19</v>
      </c>
      <c r="C265">
        <v>4635</v>
      </c>
      <c r="D265" t="s">
        <v>294</v>
      </c>
      <c r="E265">
        <v>391.6</v>
      </c>
      <c r="F265">
        <v>286</v>
      </c>
      <c r="G265">
        <v>577</v>
      </c>
      <c r="H265">
        <v>2260</v>
      </c>
      <c r="I265">
        <v>0.68</v>
      </c>
      <c r="J265">
        <v>300</v>
      </c>
      <c r="K265">
        <v>173</v>
      </c>
      <c r="L265">
        <v>154</v>
      </c>
      <c r="O265" s="1" t="str">
        <f t="shared" si="16"/>
        <v/>
      </c>
      <c r="P265" s="1">
        <f>ROUND((E265*Tidbruk!$J$1)+(G265*Tidbruk!$J$2),0)</f>
        <v>729</v>
      </c>
      <c r="Q265" s="4">
        <f t="shared" si="17"/>
        <v>13</v>
      </c>
      <c r="R265" s="1">
        <f t="shared" si="18"/>
        <v>2</v>
      </c>
      <c r="S265" s="1">
        <f t="shared" si="19"/>
        <v>7.6923076923076927E-3</v>
      </c>
    </row>
    <row r="266" spans="1:19">
      <c r="A266">
        <v>32</v>
      </c>
      <c r="B266" t="s">
        <v>84</v>
      </c>
      <c r="C266">
        <v>4636</v>
      </c>
      <c r="D266" t="s">
        <v>295</v>
      </c>
      <c r="E266">
        <v>135.6</v>
      </c>
      <c r="F266">
        <v>344</v>
      </c>
      <c r="G266">
        <v>219</v>
      </c>
      <c r="H266">
        <v>740</v>
      </c>
      <c r="I266">
        <v>0.62</v>
      </c>
      <c r="J266">
        <v>310</v>
      </c>
      <c r="K266">
        <v>183</v>
      </c>
      <c r="L266">
        <v>148</v>
      </c>
      <c r="O266" s="1" t="str">
        <f t="shared" si="16"/>
        <v/>
      </c>
      <c r="P266" s="1">
        <f>ROUND((E266*Tidbruk!$J$1)+(G266*Tidbruk!$J$2),0)</f>
        <v>265</v>
      </c>
      <c r="Q266" s="4">
        <f t="shared" si="17"/>
        <v>5</v>
      </c>
      <c r="R266" s="1">
        <f t="shared" si="18"/>
        <v>1</v>
      </c>
      <c r="S266" s="1">
        <f t="shared" si="19"/>
        <v>2.9585798816568047E-3</v>
      </c>
    </row>
    <row r="267" spans="1:19">
      <c r="A267">
        <v>34</v>
      </c>
      <c r="B267" t="s">
        <v>25</v>
      </c>
      <c r="C267">
        <v>4637</v>
      </c>
      <c r="D267" t="s">
        <v>296</v>
      </c>
      <c r="E267">
        <v>417.78</v>
      </c>
      <c r="F267">
        <v>278</v>
      </c>
      <c r="G267">
        <v>248</v>
      </c>
      <c r="H267">
        <v>1281</v>
      </c>
      <c r="I267">
        <v>1.68</v>
      </c>
      <c r="J267">
        <v>158</v>
      </c>
      <c r="K267">
        <v>326</v>
      </c>
      <c r="L267">
        <v>96</v>
      </c>
      <c r="O267" s="1" t="str">
        <f t="shared" si="16"/>
        <v/>
      </c>
      <c r="P267" s="1">
        <f>ROUND((E267*Tidbruk!$J$1)+(G267*Tidbruk!$J$2),0)</f>
        <v>539</v>
      </c>
      <c r="Q267" s="4">
        <f t="shared" si="17"/>
        <v>9</v>
      </c>
      <c r="R267" s="1">
        <f t="shared" si="18"/>
        <v>2</v>
      </c>
      <c r="S267" s="1">
        <f t="shared" si="19"/>
        <v>5.3254437869822485E-3</v>
      </c>
    </row>
    <row r="268" spans="1:19">
      <c r="A268">
        <v>31</v>
      </c>
      <c r="B268" t="s">
        <v>90</v>
      </c>
      <c r="C268">
        <v>4638</v>
      </c>
      <c r="D268" t="s">
        <v>297</v>
      </c>
      <c r="E268">
        <v>571.41999999999996</v>
      </c>
      <c r="F268">
        <v>239</v>
      </c>
      <c r="G268">
        <v>928</v>
      </c>
      <c r="H268">
        <v>3894</v>
      </c>
      <c r="I268">
        <v>0.62</v>
      </c>
      <c r="J268">
        <v>310</v>
      </c>
      <c r="K268">
        <v>147</v>
      </c>
      <c r="L268">
        <v>168</v>
      </c>
      <c r="O268" s="1" t="str">
        <f t="shared" si="16"/>
        <v/>
      </c>
      <c r="P268" s="1">
        <f>ROUND((E268*Tidbruk!$J$1)+(G268*Tidbruk!$J$2),0)</f>
        <v>1120</v>
      </c>
      <c r="Q268" s="4">
        <f t="shared" si="17"/>
        <v>19</v>
      </c>
      <c r="R268" s="1">
        <f t="shared" si="18"/>
        <v>3</v>
      </c>
      <c r="S268" s="1">
        <f t="shared" si="19"/>
        <v>1.1242603550295858E-2</v>
      </c>
    </row>
    <row r="269" spans="1:19">
      <c r="A269">
        <v>15</v>
      </c>
      <c r="B269" t="s">
        <v>94</v>
      </c>
      <c r="C269">
        <v>4639</v>
      </c>
      <c r="D269" t="s">
        <v>298</v>
      </c>
      <c r="E269">
        <v>856.15</v>
      </c>
      <c r="F269">
        <v>178</v>
      </c>
      <c r="G269">
        <v>795</v>
      </c>
      <c r="H269">
        <v>2550</v>
      </c>
      <c r="I269">
        <v>1.08</v>
      </c>
      <c r="J269">
        <v>234</v>
      </c>
      <c r="K269">
        <v>336</v>
      </c>
      <c r="L269">
        <v>92</v>
      </c>
      <c r="O269" s="1" t="str">
        <f t="shared" si="16"/>
        <v/>
      </c>
      <c r="P269" s="1">
        <f>ROUND((E269*Tidbruk!$J$1)+(G269*Tidbruk!$J$2),0)</f>
        <v>1291</v>
      </c>
      <c r="Q269" s="4">
        <f t="shared" si="17"/>
        <v>22</v>
      </c>
      <c r="R269" s="1">
        <f t="shared" si="18"/>
        <v>3</v>
      </c>
      <c r="S269" s="1">
        <f t="shared" si="19"/>
        <v>1.301775147928994E-2</v>
      </c>
    </row>
    <row r="270" spans="1:19">
      <c r="A270">
        <v>55</v>
      </c>
      <c r="B270" t="s">
        <v>44</v>
      </c>
      <c r="C270">
        <v>4640</v>
      </c>
      <c r="D270" t="s">
        <v>299</v>
      </c>
      <c r="E270">
        <v>1377.92</v>
      </c>
      <c r="F270">
        <v>78</v>
      </c>
      <c r="G270">
        <v>1229</v>
      </c>
      <c r="H270">
        <v>12496</v>
      </c>
      <c r="I270">
        <v>1.1200000000000001</v>
      </c>
      <c r="J270">
        <v>226</v>
      </c>
      <c r="K270">
        <v>110</v>
      </c>
      <c r="L270">
        <v>203</v>
      </c>
      <c r="O270" s="1" t="str">
        <f t="shared" si="16"/>
        <v/>
      </c>
      <c r="P270" s="1">
        <f>ROUND((E270*Tidbruk!$J$1)+(G270*Tidbruk!$J$2),0)</f>
        <v>2045</v>
      </c>
      <c r="Q270" s="4">
        <f t="shared" si="17"/>
        <v>35</v>
      </c>
      <c r="R270" s="1">
        <f t="shared" si="18"/>
        <v>5</v>
      </c>
      <c r="S270" s="1">
        <f t="shared" si="19"/>
        <v>2.0710059171597635E-2</v>
      </c>
    </row>
    <row r="271" spans="1:19">
      <c r="A271">
        <v>56</v>
      </c>
      <c r="B271" t="s">
        <v>19</v>
      </c>
      <c r="C271">
        <v>4641</v>
      </c>
      <c r="D271" t="s">
        <v>300</v>
      </c>
      <c r="E271">
        <v>951.96</v>
      </c>
      <c r="F271">
        <v>160</v>
      </c>
      <c r="G271">
        <v>1376</v>
      </c>
      <c r="H271">
        <v>1836</v>
      </c>
      <c r="I271">
        <v>0.69</v>
      </c>
      <c r="J271">
        <v>299</v>
      </c>
      <c r="K271">
        <v>518</v>
      </c>
      <c r="L271">
        <v>45</v>
      </c>
      <c r="O271" s="1" t="str">
        <f t="shared" si="16"/>
        <v/>
      </c>
      <c r="P271" s="1">
        <f>ROUND((E271*Tidbruk!$J$1)+(G271*Tidbruk!$J$2),0)</f>
        <v>1756</v>
      </c>
      <c r="Q271" s="4">
        <f t="shared" si="17"/>
        <v>30</v>
      </c>
      <c r="R271" s="1">
        <f t="shared" si="18"/>
        <v>4</v>
      </c>
      <c r="S271" s="1">
        <f t="shared" si="19"/>
        <v>1.7751479289940829E-2</v>
      </c>
    </row>
    <row r="272" spans="1:19">
      <c r="A272">
        <v>11</v>
      </c>
      <c r="B272" t="s">
        <v>82</v>
      </c>
      <c r="C272">
        <v>4642</v>
      </c>
      <c r="D272" t="s">
        <v>301</v>
      </c>
      <c r="E272">
        <v>672.49</v>
      </c>
      <c r="F272">
        <v>212</v>
      </c>
      <c r="G272">
        <v>1275</v>
      </c>
      <c r="H272">
        <v>2188</v>
      </c>
      <c r="I272">
        <v>0.53</v>
      </c>
      <c r="J272">
        <v>323</v>
      </c>
      <c r="K272">
        <v>307</v>
      </c>
      <c r="L272">
        <v>100</v>
      </c>
      <c r="O272" s="1" t="str">
        <f t="shared" si="16"/>
        <v/>
      </c>
      <c r="P272" s="1">
        <f>ROUND((E272*Tidbruk!$J$1)+(G272*Tidbruk!$J$2),0)</f>
        <v>1438</v>
      </c>
      <c r="Q272" s="4">
        <f t="shared" si="17"/>
        <v>24</v>
      </c>
      <c r="R272" s="1">
        <f t="shared" si="18"/>
        <v>4</v>
      </c>
      <c r="S272" s="1">
        <f t="shared" si="19"/>
        <v>1.4201183431952662E-2</v>
      </c>
    </row>
    <row r="273" spans="1:19">
      <c r="A273">
        <v>46</v>
      </c>
      <c r="B273" t="s">
        <v>32</v>
      </c>
      <c r="C273">
        <v>4643</v>
      </c>
      <c r="D273" t="s">
        <v>302</v>
      </c>
      <c r="E273">
        <v>562.88</v>
      </c>
      <c r="F273">
        <v>242</v>
      </c>
      <c r="G273">
        <v>930</v>
      </c>
      <c r="H273">
        <v>5213</v>
      </c>
      <c r="I273">
        <v>0.61</v>
      </c>
      <c r="J273">
        <v>313</v>
      </c>
      <c r="K273">
        <v>108</v>
      </c>
      <c r="L273">
        <v>207</v>
      </c>
      <c r="O273" s="1" t="str">
        <f t="shared" si="16"/>
        <v/>
      </c>
      <c r="P273" s="1">
        <f>ROUND((E273*Tidbruk!$J$1)+(G273*Tidbruk!$J$2),0)</f>
        <v>1114</v>
      </c>
      <c r="Q273" s="4">
        <f t="shared" si="17"/>
        <v>19</v>
      </c>
      <c r="R273" s="1">
        <f t="shared" si="18"/>
        <v>3</v>
      </c>
      <c r="S273" s="1">
        <f t="shared" si="19"/>
        <v>1.1242603550295858E-2</v>
      </c>
    </row>
    <row r="274" spans="1:19">
      <c r="A274">
        <v>40</v>
      </c>
      <c r="B274" t="s">
        <v>39</v>
      </c>
      <c r="C274">
        <v>4644</v>
      </c>
      <c r="D274" t="s">
        <v>303</v>
      </c>
      <c r="E274">
        <v>1476.41</v>
      </c>
      <c r="F274">
        <v>67</v>
      </c>
      <c r="G274">
        <v>2597</v>
      </c>
      <c r="H274">
        <v>5432</v>
      </c>
      <c r="I274">
        <v>0.56999999999999995</v>
      </c>
      <c r="J274">
        <v>317</v>
      </c>
      <c r="K274">
        <v>272</v>
      </c>
      <c r="L274">
        <v>113</v>
      </c>
      <c r="O274" s="1" t="str">
        <f t="shared" si="16"/>
        <v/>
      </c>
      <c r="P274" s="1">
        <f>ROUND((E274*Tidbruk!$J$1)+(G274*Tidbruk!$J$2),0)</f>
        <v>3025</v>
      </c>
      <c r="Q274" s="4">
        <f t="shared" si="17"/>
        <v>51</v>
      </c>
      <c r="R274" s="1">
        <f t="shared" si="18"/>
        <v>7</v>
      </c>
      <c r="S274" s="1">
        <f t="shared" si="19"/>
        <v>3.0177514792899408E-2</v>
      </c>
    </row>
    <row r="275" spans="1:19">
      <c r="A275">
        <v>31</v>
      </c>
      <c r="B275" t="s">
        <v>90</v>
      </c>
      <c r="C275">
        <v>4645</v>
      </c>
      <c r="D275" t="s">
        <v>304</v>
      </c>
      <c r="E275">
        <v>533.13</v>
      </c>
      <c r="F275">
        <v>245</v>
      </c>
      <c r="G275">
        <v>313</v>
      </c>
      <c r="H275">
        <v>2930</v>
      </c>
      <c r="I275">
        <v>1.7</v>
      </c>
      <c r="J275">
        <v>153</v>
      </c>
      <c r="K275">
        <v>182</v>
      </c>
      <c r="L275">
        <v>150</v>
      </c>
      <c r="O275" s="1" t="str">
        <f t="shared" si="16"/>
        <v/>
      </c>
      <c r="P275" s="1">
        <f>ROUND((E275*Tidbruk!$J$1)+(G275*Tidbruk!$J$2),0)</f>
        <v>685</v>
      </c>
      <c r="Q275" s="4">
        <f t="shared" si="17"/>
        <v>12</v>
      </c>
      <c r="R275" s="1">
        <f t="shared" si="18"/>
        <v>2</v>
      </c>
      <c r="S275" s="1">
        <f t="shared" si="19"/>
        <v>7.100591715976331E-3</v>
      </c>
    </row>
    <row r="276" spans="1:19">
      <c r="A276">
        <v>11</v>
      </c>
      <c r="B276" t="s">
        <v>82</v>
      </c>
      <c r="C276">
        <v>4646</v>
      </c>
      <c r="D276" t="s">
        <v>305</v>
      </c>
      <c r="E276">
        <v>502.55</v>
      </c>
      <c r="F276">
        <v>251</v>
      </c>
      <c r="G276">
        <v>390</v>
      </c>
      <c r="H276">
        <v>2924</v>
      </c>
      <c r="I276">
        <v>1.29</v>
      </c>
      <c r="J276">
        <v>205</v>
      </c>
      <c r="K276">
        <v>172</v>
      </c>
      <c r="L276">
        <v>156</v>
      </c>
      <c r="O276" s="1" t="str">
        <f t="shared" si="16"/>
        <v/>
      </c>
      <c r="P276" s="1">
        <f>ROUND((E276*Tidbruk!$J$1)+(G276*Tidbruk!$J$2),0)</f>
        <v>708</v>
      </c>
      <c r="Q276" s="4">
        <f t="shared" si="17"/>
        <v>12</v>
      </c>
      <c r="R276" s="1">
        <f t="shared" si="18"/>
        <v>2</v>
      </c>
      <c r="S276" s="1">
        <f t="shared" si="19"/>
        <v>7.100591715976331E-3</v>
      </c>
    </row>
    <row r="277" spans="1:19">
      <c r="A277">
        <v>33</v>
      </c>
      <c r="B277" t="s">
        <v>23</v>
      </c>
      <c r="C277">
        <v>4647</v>
      </c>
      <c r="D277" t="s">
        <v>306</v>
      </c>
      <c r="E277">
        <v>2735.56</v>
      </c>
      <c r="F277">
        <v>9</v>
      </c>
      <c r="G277">
        <v>2065</v>
      </c>
      <c r="H277">
        <v>22662</v>
      </c>
      <c r="I277">
        <v>1.32</v>
      </c>
      <c r="J277">
        <v>202</v>
      </c>
      <c r="K277">
        <v>121</v>
      </c>
      <c r="L277">
        <v>193</v>
      </c>
      <c r="O277" s="1" t="str">
        <f t="shared" si="16"/>
        <v/>
      </c>
      <c r="P277" s="1">
        <f>ROUND((E277*Tidbruk!$J$1)+(G277*Tidbruk!$J$2),0)</f>
        <v>3816</v>
      </c>
      <c r="Q277" s="4">
        <f t="shared" si="17"/>
        <v>64</v>
      </c>
      <c r="R277" s="1">
        <f t="shared" si="18"/>
        <v>9</v>
      </c>
      <c r="S277" s="1">
        <f t="shared" si="19"/>
        <v>3.7869822485207101E-2</v>
      </c>
    </row>
    <row r="278" spans="1:19">
      <c r="A278">
        <v>32</v>
      </c>
      <c r="B278" t="s">
        <v>84</v>
      </c>
      <c r="C278">
        <v>4648</v>
      </c>
      <c r="D278" t="s">
        <v>307</v>
      </c>
      <c r="E278">
        <v>675.68</v>
      </c>
      <c r="F278">
        <v>211</v>
      </c>
      <c r="G278">
        <v>786</v>
      </c>
      <c r="H278">
        <v>3361</v>
      </c>
      <c r="I278">
        <v>0.86</v>
      </c>
      <c r="J278">
        <v>273</v>
      </c>
      <c r="K278">
        <v>201</v>
      </c>
      <c r="L278">
        <v>140</v>
      </c>
      <c r="O278" s="1" t="str">
        <f t="shared" si="16"/>
        <v/>
      </c>
      <c r="P278" s="1">
        <f>ROUND((E278*Tidbruk!$J$1)+(G278*Tidbruk!$J$2),0)</f>
        <v>1122</v>
      </c>
      <c r="Q278" s="4">
        <f t="shared" si="17"/>
        <v>19</v>
      </c>
      <c r="R278" s="1">
        <f t="shared" si="18"/>
        <v>3</v>
      </c>
      <c r="S278" s="1">
        <f t="shared" si="19"/>
        <v>1.1242603550295858E-2</v>
      </c>
    </row>
    <row r="279" spans="1:19">
      <c r="A279">
        <v>46</v>
      </c>
      <c r="B279" t="s">
        <v>32</v>
      </c>
      <c r="C279">
        <v>4649</v>
      </c>
      <c r="D279" t="s">
        <v>308</v>
      </c>
      <c r="E279">
        <v>1437.14</v>
      </c>
      <c r="F279">
        <v>70</v>
      </c>
      <c r="G279">
        <v>695</v>
      </c>
      <c r="H279">
        <v>9655</v>
      </c>
      <c r="I279">
        <v>2.0699999999999998</v>
      </c>
      <c r="J279">
        <v>117</v>
      </c>
      <c r="K279">
        <v>149</v>
      </c>
      <c r="L279">
        <v>167</v>
      </c>
      <c r="O279" s="1" t="str">
        <f t="shared" si="16"/>
        <v/>
      </c>
      <c r="P279" s="1">
        <f>ROUND((E279*Tidbruk!$J$1)+(G279*Tidbruk!$J$2),0)</f>
        <v>1751</v>
      </c>
      <c r="Q279" s="4">
        <f t="shared" si="17"/>
        <v>30</v>
      </c>
      <c r="R279" s="1">
        <f t="shared" si="18"/>
        <v>4</v>
      </c>
      <c r="S279" s="1">
        <f t="shared" si="19"/>
        <v>1.7751479289940829E-2</v>
      </c>
    </row>
    <row r="280" spans="1:19">
      <c r="A280">
        <v>46</v>
      </c>
      <c r="B280" t="s">
        <v>32</v>
      </c>
      <c r="C280">
        <v>4650</v>
      </c>
      <c r="D280" t="s">
        <v>309</v>
      </c>
      <c r="E280">
        <v>932.87</v>
      </c>
      <c r="F280">
        <v>163</v>
      </c>
      <c r="G280">
        <v>963</v>
      </c>
      <c r="H280">
        <v>5936</v>
      </c>
      <c r="I280">
        <v>0.97</v>
      </c>
      <c r="J280">
        <v>254</v>
      </c>
      <c r="K280">
        <v>157</v>
      </c>
      <c r="L280">
        <v>163</v>
      </c>
      <c r="O280" s="1" t="str">
        <f t="shared" si="16"/>
        <v/>
      </c>
      <c r="P280" s="1">
        <f>ROUND((E280*Tidbruk!$J$1)+(G280*Tidbruk!$J$2),0)</f>
        <v>1470</v>
      </c>
      <c r="Q280" s="4">
        <f t="shared" si="17"/>
        <v>25</v>
      </c>
      <c r="R280" s="1">
        <f t="shared" si="18"/>
        <v>4</v>
      </c>
      <c r="S280" s="1">
        <f t="shared" si="19"/>
        <v>1.4792899408284023E-2</v>
      </c>
    </row>
    <row r="281" spans="1:19">
      <c r="A281">
        <v>55</v>
      </c>
      <c r="B281" t="s">
        <v>44</v>
      </c>
      <c r="C281">
        <v>4651</v>
      </c>
      <c r="D281" t="s">
        <v>310</v>
      </c>
      <c r="E281">
        <v>1075.74</v>
      </c>
      <c r="F281">
        <v>130</v>
      </c>
      <c r="G281">
        <v>1326</v>
      </c>
      <c r="H281">
        <v>7311</v>
      </c>
      <c r="I281">
        <v>0.81</v>
      </c>
      <c r="J281">
        <v>283</v>
      </c>
      <c r="K281">
        <v>147</v>
      </c>
      <c r="L281">
        <v>168</v>
      </c>
      <c r="O281" s="1" t="str">
        <f t="shared" si="16"/>
        <v/>
      </c>
      <c r="P281" s="1">
        <f>ROUND((E281*Tidbruk!$J$1)+(G281*Tidbruk!$J$2),0)</f>
        <v>1835</v>
      </c>
      <c r="Q281" s="4">
        <f t="shared" si="17"/>
        <v>31</v>
      </c>
      <c r="R281" s="1">
        <f t="shared" si="18"/>
        <v>5</v>
      </c>
      <c r="S281" s="1">
        <f t="shared" si="19"/>
        <v>1.8343195266272188E-2</v>
      </c>
    </row>
    <row r="282" spans="1:19">
      <c r="A282">
        <v>50</v>
      </c>
      <c r="B282" t="s">
        <v>21</v>
      </c>
      <c r="C282">
        <v>5001</v>
      </c>
      <c r="D282" t="s">
        <v>311</v>
      </c>
      <c r="E282">
        <v>1618.92</v>
      </c>
      <c r="F282">
        <v>60</v>
      </c>
      <c r="G282">
        <v>496</v>
      </c>
      <c r="H282">
        <v>216518</v>
      </c>
      <c r="I282">
        <v>3.26</v>
      </c>
      <c r="J282">
        <v>32</v>
      </c>
      <c r="K282">
        <v>7</v>
      </c>
      <c r="L282">
        <v>348</v>
      </c>
      <c r="O282" s="1" t="str">
        <f t="shared" si="16"/>
        <v/>
      </c>
      <c r="P282" s="1">
        <f>ROUND((E282*Tidbruk!$J$1)+(G282*Tidbruk!$J$2),0)</f>
        <v>1786</v>
      </c>
      <c r="Q282" s="4">
        <f t="shared" si="17"/>
        <v>30</v>
      </c>
      <c r="R282" s="1">
        <f t="shared" si="18"/>
        <v>4</v>
      </c>
      <c r="S282" s="1">
        <f t="shared" si="19"/>
        <v>1.7751479289940829E-2</v>
      </c>
    </row>
    <row r="283" spans="1:19">
      <c r="A283">
        <v>50</v>
      </c>
      <c r="B283" t="s">
        <v>21</v>
      </c>
      <c r="C283">
        <v>5006</v>
      </c>
      <c r="D283" t="s">
        <v>312</v>
      </c>
      <c r="E283">
        <v>2724.54</v>
      </c>
      <c r="F283">
        <v>10</v>
      </c>
      <c r="G283">
        <v>1937</v>
      </c>
      <c r="H283">
        <v>24064</v>
      </c>
      <c r="I283">
        <v>1.41</v>
      </c>
      <c r="J283">
        <v>187</v>
      </c>
      <c r="K283">
        <v>113</v>
      </c>
      <c r="L283">
        <v>201</v>
      </c>
      <c r="O283" s="1" t="str">
        <f t="shared" si="16"/>
        <v/>
      </c>
      <c r="P283" s="1">
        <f>ROUND((E283*Tidbruk!$J$1)+(G283*Tidbruk!$J$2),0)</f>
        <v>3723</v>
      </c>
      <c r="Q283" s="4">
        <f t="shared" si="17"/>
        <v>63</v>
      </c>
      <c r="R283" s="1">
        <f t="shared" si="18"/>
        <v>9</v>
      </c>
      <c r="S283" s="1">
        <f t="shared" si="19"/>
        <v>3.7278106508875739E-2</v>
      </c>
    </row>
    <row r="284" spans="1:19">
      <c r="A284">
        <v>15</v>
      </c>
      <c r="B284" t="s">
        <v>94</v>
      </c>
      <c r="C284">
        <v>5007</v>
      </c>
      <c r="D284" t="s">
        <v>313</v>
      </c>
      <c r="E284">
        <v>1628.75</v>
      </c>
      <c r="F284">
        <v>59</v>
      </c>
      <c r="G284">
        <v>1998</v>
      </c>
      <c r="H284">
        <v>15154</v>
      </c>
      <c r="I284">
        <v>0.82</v>
      </c>
      <c r="J284">
        <v>281</v>
      </c>
      <c r="K284">
        <v>107</v>
      </c>
      <c r="L284">
        <v>210</v>
      </c>
      <c r="O284" s="1" t="str">
        <f t="shared" si="16"/>
        <v/>
      </c>
      <c r="P284" s="1">
        <f>ROUND((E284*Tidbruk!$J$1)+(G284*Tidbruk!$J$2),0)</f>
        <v>2772</v>
      </c>
      <c r="Q284" s="4">
        <f t="shared" si="17"/>
        <v>47</v>
      </c>
      <c r="R284" s="1">
        <f t="shared" si="18"/>
        <v>7</v>
      </c>
      <c r="S284" s="1">
        <f t="shared" si="19"/>
        <v>2.7810650887573965E-2</v>
      </c>
    </row>
    <row r="285" spans="1:19">
      <c r="A285">
        <v>55</v>
      </c>
      <c r="B285" t="s">
        <v>44</v>
      </c>
      <c r="C285">
        <v>5014</v>
      </c>
      <c r="D285" t="s">
        <v>314</v>
      </c>
      <c r="E285">
        <v>489.91</v>
      </c>
      <c r="F285">
        <v>259</v>
      </c>
      <c r="G285">
        <v>230</v>
      </c>
      <c r="H285">
        <v>5655</v>
      </c>
      <c r="I285">
        <v>2.13</v>
      </c>
      <c r="J285">
        <v>114</v>
      </c>
      <c r="K285">
        <v>87</v>
      </c>
      <c r="L285">
        <v>232</v>
      </c>
      <c r="O285" s="1" t="str">
        <f t="shared" si="16"/>
        <v/>
      </c>
      <c r="P285" s="1">
        <f>ROUND((E285*Tidbruk!$J$1)+(G285*Tidbruk!$J$2),0)</f>
        <v>592</v>
      </c>
      <c r="Q285" s="4">
        <f t="shared" si="17"/>
        <v>10</v>
      </c>
      <c r="R285" s="1">
        <f t="shared" si="18"/>
        <v>2</v>
      </c>
      <c r="S285" s="1">
        <f t="shared" si="19"/>
        <v>5.9171597633136093E-3</v>
      </c>
    </row>
    <row r="286" spans="1:19">
      <c r="A286">
        <v>18</v>
      </c>
      <c r="B286" t="s">
        <v>73</v>
      </c>
      <c r="C286">
        <v>5020</v>
      </c>
      <c r="D286" t="s">
        <v>315</v>
      </c>
      <c r="E286">
        <v>335.79</v>
      </c>
      <c r="F286">
        <v>292</v>
      </c>
      <c r="G286">
        <v>370</v>
      </c>
      <c r="H286">
        <v>891</v>
      </c>
      <c r="I286">
        <v>0.91</v>
      </c>
      <c r="J286">
        <v>261</v>
      </c>
      <c r="K286">
        <v>377</v>
      </c>
      <c r="L286">
        <v>73</v>
      </c>
      <c r="O286" s="1" t="str">
        <f t="shared" si="16"/>
        <v/>
      </c>
      <c r="P286" s="1">
        <f>ROUND((E286*Tidbruk!$J$1)+(G286*Tidbruk!$J$2),0)</f>
        <v>544</v>
      </c>
      <c r="Q286" s="4">
        <f t="shared" si="17"/>
        <v>10</v>
      </c>
      <c r="R286" s="1">
        <f t="shared" si="18"/>
        <v>2</v>
      </c>
      <c r="S286" s="1">
        <f t="shared" si="19"/>
        <v>5.9171597633136093E-3</v>
      </c>
    </row>
    <row r="287" spans="1:19">
      <c r="A287">
        <v>46</v>
      </c>
      <c r="B287" t="s">
        <v>32</v>
      </c>
      <c r="C287">
        <v>5021</v>
      </c>
      <c r="D287" t="s">
        <v>316</v>
      </c>
      <c r="E287">
        <v>3520.02</v>
      </c>
      <c r="F287">
        <v>2</v>
      </c>
      <c r="G287">
        <v>2201</v>
      </c>
      <c r="H287">
        <v>7408</v>
      </c>
      <c r="I287">
        <v>1.6</v>
      </c>
      <c r="J287">
        <v>163</v>
      </c>
      <c r="K287">
        <v>475</v>
      </c>
      <c r="L287">
        <v>54</v>
      </c>
      <c r="O287" s="1" t="str">
        <f t="shared" si="16"/>
        <v/>
      </c>
      <c r="P287" s="1">
        <f>ROUND((E287*Tidbruk!$J$1)+(G287*Tidbruk!$J$2),0)</f>
        <v>4613</v>
      </c>
      <c r="Q287" s="4">
        <f t="shared" si="17"/>
        <v>77</v>
      </c>
      <c r="R287" s="1">
        <f t="shared" si="18"/>
        <v>11</v>
      </c>
      <c r="S287" s="1">
        <f t="shared" si="19"/>
        <v>4.5562130177514794E-2</v>
      </c>
    </row>
    <row r="288" spans="1:19">
      <c r="A288">
        <v>18</v>
      </c>
      <c r="B288" t="s">
        <v>73</v>
      </c>
      <c r="C288">
        <v>5022</v>
      </c>
      <c r="D288" t="s">
        <v>317</v>
      </c>
      <c r="E288">
        <v>1297.5</v>
      </c>
      <c r="F288">
        <v>92</v>
      </c>
      <c r="G288">
        <v>924</v>
      </c>
      <c r="H288">
        <v>2513</v>
      </c>
      <c r="I288">
        <v>1.4</v>
      </c>
      <c r="J288">
        <v>188</v>
      </c>
      <c r="K288">
        <v>516</v>
      </c>
      <c r="L288">
        <v>46</v>
      </c>
      <c r="O288" s="1" t="str">
        <f t="shared" si="16"/>
        <v/>
      </c>
      <c r="P288" s="1">
        <f>ROUND((E288*Tidbruk!$J$1)+(G288*Tidbruk!$J$2),0)</f>
        <v>1774</v>
      </c>
      <c r="Q288" s="4">
        <f t="shared" si="17"/>
        <v>30</v>
      </c>
      <c r="R288" s="1">
        <f t="shared" si="18"/>
        <v>4</v>
      </c>
      <c r="S288" s="1">
        <f t="shared" si="19"/>
        <v>1.7751479289940829E-2</v>
      </c>
    </row>
    <row r="289" spans="1:19">
      <c r="A289">
        <v>18</v>
      </c>
      <c r="B289" t="s">
        <v>73</v>
      </c>
      <c r="C289">
        <v>5025</v>
      </c>
      <c r="D289" t="s">
        <v>318</v>
      </c>
      <c r="E289">
        <v>2140.7600000000002</v>
      </c>
      <c r="F289">
        <v>30</v>
      </c>
      <c r="G289">
        <v>1756</v>
      </c>
      <c r="H289">
        <v>5681</v>
      </c>
      <c r="I289">
        <v>1.22</v>
      </c>
      <c r="J289">
        <v>217</v>
      </c>
      <c r="K289">
        <v>377</v>
      </c>
      <c r="L289">
        <v>73</v>
      </c>
      <c r="O289" s="1" t="str">
        <f t="shared" si="16"/>
        <v/>
      </c>
      <c r="P289" s="1">
        <f>ROUND((E289*Tidbruk!$J$1)+(G289*Tidbruk!$J$2),0)</f>
        <v>3077</v>
      </c>
      <c r="Q289" s="4">
        <f t="shared" si="17"/>
        <v>52</v>
      </c>
      <c r="R289" s="1">
        <f t="shared" si="18"/>
        <v>7</v>
      </c>
      <c r="S289" s="1">
        <f t="shared" si="19"/>
        <v>3.0769230769230771E-2</v>
      </c>
    </row>
    <row r="290" spans="1:19">
      <c r="A290">
        <v>15</v>
      </c>
      <c r="B290" t="s">
        <v>94</v>
      </c>
      <c r="C290">
        <v>5026</v>
      </c>
      <c r="D290" t="s">
        <v>319</v>
      </c>
      <c r="E290">
        <v>1032.47</v>
      </c>
      <c r="F290">
        <v>140</v>
      </c>
      <c r="G290">
        <v>1171</v>
      </c>
      <c r="H290">
        <v>2048</v>
      </c>
      <c r="I290">
        <v>0.88</v>
      </c>
      <c r="J290">
        <v>268</v>
      </c>
      <c r="K290">
        <v>504</v>
      </c>
      <c r="L290">
        <v>49</v>
      </c>
      <c r="O290" s="1" t="str">
        <f t="shared" si="16"/>
        <v/>
      </c>
      <c r="P290" s="1">
        <f>ROUND((E290*Tidbruk!$J$1)+(G290*Tidbruk!$J$2),0)</f>
        <v>1695</v>
      </c>
      <c r="Q290" s="4">
        <f t="shared" si="17"/>
        <v>29</v>
      </c>
      <c r="R290" s="1">
        <f t="shared" si="18"/>
        <v>4</v>
      </c>
      <c r="S290" s="1">
        <f t="shared" si="19"/>
        <v>1.7159763313609466E-2</v>
      </c>
    </row>
    <row r="291" spans="1:19">
      <c r="A291">
        <v>50</v>
      </c>
      <c r="B291" t="s">
        <v>21</v>
      </c>
      <c r="C291">
        <v>5027</v>
      </c>
      <c r="D291" t="s">
        <v>320</v>
      </c>
      <c r="E291">
        <v>1978.38</v>
      </c>
      <c r="F291">
        <v>38</v>
      </c>
      <c r="G291">
        <v>1803</v>
      </c>
      <c r="H291">
        <v>6141</v>
      </c>
      <c r="I291">
        <v>1.1000000000000001</v>
      </c>
      <c r="J291">
        <v>229</v>
      </c>
      <c r="K291">
        <v>322</v>
      </c>
      <c r="L291">
        <v>98</v>
      </c>
      <c r="O291" s="1" t="str">
        <f t="shared" si="16"/>
        <v/>
      </c>
      <c r="P291" s="1">
        <f>ROUND((E291*Tidbruk!$J$1)+(G291*Tidbruk!$J$2),0)</f>
        <v>2961</v>
      </c>
      <c r="Q291" s="4">
        <f t="shared" si="17"/>
        <v>50</v>
      </c>
      <c r="R291" s="1">
        <f t="shared" si="18"/>
        <v>7</v>
      </c>
      <c r="S291" s="1">
        <f t="shared" si="19"/>
        <v>2.9585798816568046E-2</v>
      </c>
    </row>
    <row r="292" spans="1:19">
      <c r="A292">
        <v>39</v>
      </c>
      <c r="B292" t="s">
        <v>60</v>
      </c>
      <c r="C292">
        <v>5028</v>
      </c>
      <c r="D292" t="s">
        <v>321</v>
      </c>
      <c r="E292">
        <v>1118.2</v>
      </c>
      <c r="F292">
        <v>121</v>
      </c>
      <c r="G292">
        <v>653</v>
      </c>
      <c r="H292">
        <v>17812</v>
      </c>
      <c r="I292">
        <v>1.71</v>
      </c>
      <c r="J292">
        <v>150</v>
      </c>
      <c r="K292">
        <v>63</v>
      </c>
      <c r="L292">
        <v>261</v>
      </c>
      <c r="O292" s="1" t="str">
        <f t="shared" si="16"/>
        <v/>
      </c>
      <c r="P292" s="1">
        <f>ROUND((E292*Tidbruk!$J$1)+(G292*Tidbruk!$J$2),0)</f>
        <v>1435</v>
      </c>
      <c r="Q292" s="4">
        <f t="shared" si="17"/>
        <v>24</v>
      </c>
      <c r="R292" s="1">
        <f t="shared" si="18"/>
        <v>4</v>
      </c>
      <c r="S292" s="1">
        <f t="shared" si="19"/>
        <v>1.4201183431952662E-2</v>
      </c>
    </row>
    <row r="293" spans="1:19">
      <c r="A293">
        <v>50</v>
      </c>
      <c r="B293" t="s">
        <v>21</v>
      </c>
      <c r="C293">
        <v>5029</v>
      </c>
      <c r="D293" t="s">
        <v>322</v>
      </c>
      <c r="E293">
        <v>537.69000000000005</v>
      </c>
      <c r="F293">
        <v>243</v>
      </c>
      <c r="G293">
        <v>213</v>
      </c>
      <c r="H293">
        <v>8521</v>
      </c>
      <c r="I293">
        <v>2.52</v>
      </c>
      <c r="J293">
        <v>78</v>
      </c>
      <c r="K293">
        <v>63</v>
      </c>
      <c r="L293">
        <v>261</v>
      </c>
      <c r="O293" s="1" t="str">
        <f t="shared" si="16"/>
        <v/>
      </c>
      <c r="P293" s="1">
        <f>ROUND((E293*Tidbruk!$J$1)+(G293*Tidbruk!$J$2),0)</f>
        <v>624</v>
      </c>
      <c r="Q293" s="4">
        <f t="shared" si="17"/>
        <v>11</v>
      </c>
      <c r="R293" s="1">
        <f t="shared" si="18"/>
        <v>2</v>
      </c>
      <c r="S293" s="1">
        <f t="shared" si="19"/>
        <v>6.5088757396449702E-3</v>
      </c>
    </row>
    <row r="294" spans="1:19">
      <c r="A294">
        <v>18</v>
      </c>
      <c r="B294" t="s">
        <v>73</v>
      </c>
      <c r="C294">
        <v>5031</v>
      </c>
      <c r="D294" t="s">
        <v>323</v>
      </c>
      <c r="E294">
        <v>405.44</v>
      </c>
      <c r="F294">
        <v>282</v>
      </c>
      <c r="G294">
        <v>162</v>
      </c>
      <c r="H294">
        <v>15023</v>
      </c>
      <c r="I294">
        <v>2.5</v>
      </c>
      <c r="J294">
        <v>80</v>
      </c>
      <c r="K294">
        <v>27</v>
      </c>
      <c r="L294">
        <v>311</v>
      </c>
      <c r="O294" s="1" t="str">
        <f t="shared" si="16"/>
        <v/>
      </c>
      <c r="P294" s="1">
        <f>ROUND((E294*Tidbruk!$J$1)+(G294*Tidbruk!$J$2),0)</f>
        <v>472</v>
      </c>
      <c r="Q294" s="4">
        <f t="shared" si="17"/>
        <v>8</v>
      </c>
      <c r="R294" s="1">
        <f t="shared" si="18"/>
        <v>2</v>
      </c>
      <c r="S294" s="1">
        <f t="shared" si="19"/>
        <v>4.7337278106508876E-3</v>
      </c>
    </row>
    <row r="295" spans="1:19">
      <c r="A295">
        <v>56</v>
      </c>
      <c r="B295" t="s">
        <v>19</v>
      </c>
      <c r="C295">
        <v>5032</v>
      </c>
      <c r="D295" t="s">
        <v>324</v>
      </c>
      <c r="E295">
        <v>1028.79</v>
      </c>
      <c r="F295">
        <v>142</v>
      </c>
      <c r="G295">
        <v>1140</v>
      </c>
      <c r="H295">
        <v>4233</v>
      </c>
      <c r="I295">
        <v>0.9</v>
      </c>
      <c r="J295">
        <v>264</v>
      </c>
      <c r="K295">
        <v>243</v>
      </c>
      <c r="L295">
        <v>124</v>
      </c>
      <c r="O295" s="1" t="str">
        <f t="shared" si="16"/>
        <v/>
      </c>
      <c r="P295" s="1">
        <f>ROUND((E295*Tidbruk!$J$1)+(G295*Tidbruk!$J$2),0)</f>
        <v>1672</v>
      </c>
      <c r="Q295" s="4">
        <f t="shared" si="17"/>
        <v>28</v>
      </c>
      <c r="R295" s="1">
        <f t="shared" si="18"/>
        <v>4</v>
      </c>
      <c r="S295" s="1">
        <f t="shared" si="19"/>
        <v>1.6568047337278107E-2</v>
      </c>
    </row>
    <row r="296" spans="1:19">
      <c r="A296">
        <v>18</v>
      </c>
      <c r="B296" t="s">
        <v>73</v>
      </c>
      <c r="C296">
        <v>5033</v>
      </c>
      <c r="D296" t="s">
        <v>325</v>
      </c>
      <c r="E296">
        <v>1260.27</v>
      </c>
      <c r="F296">
        <v>97</v>
      </c>
      <c r="G296">
        <v>1217</v>
      </c>
      <c r="H296">
        <v>786</v>
      </c>
      <c r="I296">
        <v>1.04</v>
      </c>
      <c r="J296">
        <v>240</v>
      </c>
      <c r="K296">
        <v>1603</v>
      </c>
      <c r="L296">
        <v>3</v>
      </c>
      <c r="O296" s="1" t="str">
        <f t="shared" si="16"/>
        <v/>
      </c>
      <c r="P296" s="1">
        <f>ROUND((E296*Tidbruk!$J$1)+(G296*Tidbruk!$J$2),0)</f>
        <v>1931</v>
      </c>
      <c r="Q296" s="4">
        <f t="shared" si="17"/>
        <v>33</v>
      </c>
      <c r="R296" s="1">
        <f t="shared" si="18"/>
        <v>5</v>
      </c>
      <c r="S296" s="1">
        <f t="shared" si="19"/>
        <v>1.952662721893491E-2</v>
      </c>
    </row>
    <row r="297" spans="1:19">
      <c r="A297">
        <v>46</v>
      </c>
      <c r="B297" t="s">
        <v>32</v>
      </c>
      <c r="C297">
        <v>5034</v>
      </c>
      <c r="D297" t="s">
        <v>326</v>
      </c>
      <c r="E297">
        <v>1156.53</v>
      </c>
      <c r="F297">
        <v>112</v>
      </c>
      <c r="G297">
        <v>1188</v>
      </c>
      <c r="H297">
        <v>2472</v>
      </c>
      <c r="I297">
        <v>0.97</v>
      </c>
      <c r="J297">
        <v>254</v>
      </c>
      <c r="K297">
        <v>468</v>
      </c>
      <c r="L297">
        <v>56</v>
      </c>
      <c r="O297" s="1" t="str">
        <f t="shared" si="16"/>
        <v/>
      </c>
      <c r="P297" s="1">
        <f>ROUND((E297*Tidbruk!$J$1)+(G297*Tidbruk!$J$2),0)</f>
        <v>1818</v>
      </c>
      <c r="Q297" s="4">
        <f t="shared" si="17"/>
        <v>31</v>
      </c>
      <c r="R297" s="1">
        <f t="shared" si="18"/>
        <v>5</v>
      </c>
      <c r="S297" s="1">
        <f t="shared" si="19"/>
        <v>1.8343195266272188E-2</v>
      </c>
    </row>
    <row r="298" spans="1:19">
      <c r="A298">
        <v>18</v>
      </c>
      <c r="B298" t="s">
        <v>73</v>
      </c>
      <c r="C298">
        <v>5035</v>
      </c>
      <c r="D298" t="s">
        <v>327</v>
      </c>
      <c r="E298">
        <v>1854.39</v>
      </c>
      <c r="F298">
        <v>43</v>
      </c>
      <c r="G298">
        <v>913</v>
      </c>
      <c r="H298">
        <v>24927</v>
      </c>
      <c r="I298">
        <v>2.0299999999999998</v>
      </c>
      <c r="J298">
        <v>121</v>
      </c>
      <c r="K298">
        <v>74</v>
      </c>
      <c r="L298">
        <v>245</v>
      </c>
      <c r="O298" s="1" t="str">
        <f t="shared" si="16"/>
        <v/>
      </c>
      <c r="P298" s="1">
        <f>ROUND((E298*Tidbruk!$J$1)+(G298*Tidbruk!$J$2),0)</f>
        <v>2270</v>
      </c>
      <c r="Q298" s="4">
        <f t="shared" si="17"/>
        <v>38</v>
      </c>
      <c r="R298" s="1">
        <f t="shared" si="18"/>
        <v>6</v>
      </c>
      <c r="S298" s="1">
        <f t="shared" si="19"/>
        <v>2.2485207100591716E-2</v>
      </c>
    </row>
    <row r="299" spans="1:19">
      <c r="A299">
        <v>55</v>
      </c>
      <c r="B299" t="s">
        <v>44</v>
      </c>
      <c r="C299">
        <v>5036</v>
      </c>
      <c r="D299" t="s">
        <v>328</v>
      </c>
      <c r="E299">
        <v>248.35</v>
      </c>
      <c r="F299">
        <v>312</v>
      </c>
      <c r="G299">
        <v>74</v>
      </c>
      <c r="H299">
        <v>2661</v>
      </c>
      <c r="I299">
        <v>3.36</v>
      </c>
      <c r="J299">
        <v>29</v>
      </c>
      <c r="K299">
        <v>93</v>
      </c>
      <c r="L299">
        <v>223</v>
      </c>
      <c r="O299" s="1" t="str">
        <f t="shared" si="16"/>
        <v/>
      </c>
      <c r="P299" s="1">
        <f>ROUND((E299*Tidbruk!$J$1)+(G299*Tidbruk!$J$2),0)</f>
        <v>273</v>
      </c>
      <c r="Q299" s="4">
        <f t="shared" si="17"/>
        <v>5</v>
      </c>
      <c r="R299" s="1">
        <f t="shared" si="18"/>
        <v>1</v>
      </c>
      <c r="S299" s="1">
        <f t="shared" si="19"/>
        <v>2.9585798816568047E-3</v>
      </c>
    </row>
    <row r="300" spans="1:19">
      <c r="A300">
        <v>55</v>
      </c>
      <c r="B300" t="s">
        <v>44</v>
      </c>
      <c r="C300">
        <v>5037</v>
      </c>
      <c r="D300" t="s">
        <v>329</v>
      </c>
      <c r="E300">
        <v>1422.45</v>
      </c>
      <c r="F300">
        <v>71</v>
      </c>
      <c r="G300">
        <v>610</v>
      </c>
      <c r="H300">
        <v>20732</v>
      </c>
      <c r="I300">
        <v>2.33</v>
      </c>
      <c r="J300">
        <v>90</v>
      </c>
      <c r="K300">
        <v>69</v>
      </c>
      <c r="L300">
        <v>251</v>
      </c>
      <c r="O300" s="1" t="str">
        <f t="shared" si="16"/>
        <v/>
      </c>
      <c r="P300" s="1">
        <f>ROUND((E300*Tidbruk!$J$1)+(G300*Tidbruk!$J$2),0)</f>
        <v>1682</v>
      </c>
      <c r="Q300" s="4">
        <f t="shared" si="17"/>
        <v>29</v>
      </c>
      <c r="R300" s="1">
        <f t="shared" si="18"/>
        <v>4</v>
      </c>
      <c r="S300" s="1">
        <f t="shared" si="19"/>
        <v>1.7159763313609466E-2</v>
      </c>
    </row>
    <row r="301" spans="1:19">
      <c r="A301">
        <v>18</v>
      </c>
      <c r="B301" t="s">
        <v>73</v>
      </c>
      <c r="C301">
        <v>5038</v>
      </c>
      <c r="D301" t="s">
        <v>330</v>
      </c>
      <c r="E301">
        <v>1452.89</v>
      </c>
      <c r="F301">
        <v>69</v>
      </c>
      <c r="G301">
        <v>1475</v>
      </c>
      <c r="H301">
        <v>15412</v>
      </c>
      <c r="I301">
        <v>0.99</v>
      </c>
      <c r="J301">
        <v>249</v>
      </c>
      <c r="K301">
        <v>94</v>
      </c>
      <c r="L301">
        <v>221</v>
      </c>
      <c r="O301" s="1" t="str">
        <f t="shared" si="16"/>
        <v/>
      </c>
      <c r="P301" s="1">
        <f>ROUND((E301*Tidbruk!$J$1)+(G301*Tidbruk!$J$2),0)</f>
        <v>2273</v>
      </c>
      <c r="Q301" s="4">
        <f t="shared" si="17"/>
        <v>38</v>
      </c>
      <c r="R301" s="1">
        <f t="shared" si="18"/>
        <v>6</v>
      </c>
      <c r="S301" s="1">
        <f t="shared" si="19"/>
        <v>2.2485207100591716E-2</v>
      </c>
    </row>
    <row r="302" spans="1:19">
      <c r="A302">
        <v>56</v>
      </c>
      <c r="B302" t="s">
        <v>19</v>
      </c>
      <c r="C302">
        <v>5041</v>
      </c>
      <c r="D302" t="s">
        <v>331</v>
      </c>
      <c r="E302">
        <v>1182.67</v>
      </c>
      <c r="F302">
        <v>106</v>
      </c>
      <c r="G302">
        <v>2146</v>
      </c>
      <c r="H302">
        <v>2138</v>
      </c>
      <c r="I302">
        <v>0.55000000000000004</v>
      </c>
      <c r="J302">
        <v>320</v>
      </c>
      <c r="K302">
        <v>553</v>
      </c>
      <c r="L302">
        <v>41</v>
      </c>
      <c r="O302" s="1" t="str">
        <f t="shared" si="16"/>
        <v/>
      </c>
      <c r="P302" s="1">
        <f>ROUND((E302*Tidbruk!$J$1)+(G302*Tidbruk!$J$2),0)</f>
        <v>2466</v>
      </c>
      <c r="Q302" s="4">
        <f t="shared" si="17"/>
        <v>42</v>
      </c>
      <c r="R302" s="1">
        <f t="shared" si="18"/>
        <v>6</v>
      </c>
      <c r="S302" s="1">
        <f t="shared" si="19"/>
        <v>2.4852071005917159E-2</v>
      </c>
    </row>
    <row r="303" spans="1:19">
      <c r="A303">
        <v>32</v>
      </c>
      <c r="B303" t="s">
        <v>84</v>
      </c>
      <c r="C303">
        <v>5042</v>
      </c>
      <c r="D303" t="s">
        <v>332</v>
      </c>
      <c r="E303">
        <v>815.32</v>
      </c>
      <c r="F303">
        <v>188</v>
      </c>
      <c r="G303">
        <v>2630</v>
      </c>
      <c r="H303">
        <v>1316</v>
      </c>
      <c r="I303">
        <v>0.31</v>
      </c>
      <c r="J303">
        <v>351</v>
      </c>
      <c r="K303">
        <v>620</v>
      </c>
      <c r="L303">
        <v>32</v>
      </c>
      <c r="O303" s="1" t="str">
        <f t="shared" si="16"/>
        <v/>
      </c>
      <c r="P303" s="1">
        <f>ROUND((E303*Tidbruk!$J$1)+(G303*Tidbruk!$J$2),0)</f>
        <v>2449</v>
      </c>
      <c r="Q303" s="4">
        <f t="shared" si="17"/>
        <v>41</v>
      </c>
      <c r="R303" s="1">
        <f t="shared" si="18"/>
        <v>6</v>
      </c>
      <c r="S303" s="1">
        <f t="shared" si="19"/>
        <v>2.42603550295858E-2</v>
      </c>
    </row>
    <row r="304" spans="1:19">
      <c r="A304">
        <v>18</v>
      </c>
      <c r="B304" t="s">
        <v>73</v>
      </c>
      <c r="C304">
        <v>5043</v>
      </c>
      <c r="D304" t="s">
        <v>333</v>
      </c>
      <c r="E304">
        <v>188.27</v>
      </c>
      <c r="F304">
        <v>337</v>
      </c>
      <c r="G304">
        <v>1330</v>
      </c>
      <c r="H304">
        <v>443</v>
      </c>
      <c r="I304">
        <v>0.14000000000000001</v>
      </c>
      <c r="J304">
        <v>357</v>
      </c>
      <c r="K304">
        <v>425</v>
      </c>
      <c r="L304">
        <v>64</v>
      </c>
      <c r="O304" s="1" t="str">
        <f t="shared" si="16"/>
        <v/>
      </c>
      <c r="P304" s="1">
        <f>ROUND((E304*Tidbruk!$J$1)+(G304*Tidbruk!$J$2),0)</f>
        <v>1036</v>
      </c>
      <c r="Q304" s="4">
        <f t="shared" si="17"/>
        <v>18</v>
      </c>
      <c r="R304" s="1">
        <f t="shared" si="18"/>
        <v>3</v>
      </c>
      <c r="S304" s="1">
        <f t="shared" si="19"/>
        <v>1.0650887573964497E-2</v>
      </c>
    </row>
    <row r="305" spans="1:19">
      <c r="A305">
        <v>15</v>
      </c>
      <c r="B305" t="s">
        <v>94</v>
      </c>
      <c r="C305">
        <v>5044</v>
      </c>
      <c r="D305" t="s">
        <v>334</v>
      </c>
      <c r="E305">
        <v>407.16</v>
      </c>
      <c r="F305">
        <v>281</v>
      </c>
      <c r="G305">
        <v>1353</v>
      </c>
      <c r="H305">
        <v>811</v>
      </c>
      <c r="I305">
        <v>0.3</v>
      </c>
      <c r="J305">
        <v>352</v>
      </c>
      <c r="K305">
        <v>502</v>
      </c>
      <c r="L305">
        <v>50</v>
      </c>
      <c r="O305" s="1" t="str">
        <f t="shared" si="16"/>
        <v/>
      </c>
      <c r="P305" s="1">
        <f>ROUND((E305*Tidbruk!$J$1)+(G305*Tidbruk!$J$2),0)</f>
        <v>1249</v>
      </c>
      <c r="Q305" s="4">
        <f t="shared" si="17"/>
        <v>21</v>
      </c>
      <c r="R305" s="1">
        <f t="shared" si="18"/>
        <v>3</v>
      </c>
      <c r="S305" s="1">
        <f t="shared" si="19"/>
        <v>1.242603550295858E-2</v>
      </c>
    </row>
    <row r="306" spans="1:19">
      <c r="A306">
        <v>31</v>
      </c>
      <c r="B306" t="s">
        <v>90</v>
      </c>
      <c r="C306">
        <v>5045</v>
      </c>
      <c r="D306" t="s">
        <v>335</v>
      </c>
      <c r="E306">
        <v>917.3</v>
      </c>
      <c r="F306">
        <v>167</v>
      </c>
      <c r="G306">
        <v>1095</v>
      </c>
      <c r="H306">
        <v>2314</v>
      </c>
      <c r="I306">
        <v>0.84</v>
      </c>
      <c r="J306">
        <v>279</v>
      </c>
      <c r="K306">
        <v>396</v>
      </c>
      <c r="L306">
        <v>69</v>
      </c>
      <c r="O306" s="1" t="str">
        <f t="shared" si="16"/>
        <v/>
      </c>
      <c r="P306" s="1">
        <f>ROUND((E306*Tidbruk!$J$1)+(G306*Tidbruk!$J$2),0)</f>
        <v>1542</v>
      </c>
      <c r="Q306" s="4">
        <f t="shared" si="17"/>
        <v>26</v>
      </c>
      <c r="R306" s="1">
        <f t="shared" si="18"/>
        <v>4</v>
      </c>
      <c r="S306" s="1">
        <f t="shared" si="19"/>
        <v>1.5384615384615385E-2</v>
      </c>
    </row>
    <row r="307" spans="1:19">
      <c r="A307">
        <v>11</v>
      </c>
      <c r="B307" t="s">
        <v>82</v>
      </c>
      <c r="C307">
        <v>5046</v>
      </c>
      <c r="D307" t="s">
        <v>336</v>
      </c>
      <c r="E307">
        <v>357.95</v>
      </c>
      <c r="F307">
        <v>290</v>
      </c>
      <c r="G307">
        <v>703</v>
      </c>
      <c r="H307">
        <v>1235</v>
      </c>
      <c r="I307">
        <v>0.51</v>
      </c>
      <c r="J307">
        <v>327</v>
      </c>
      <c r="K307">
        <v>290</v>
      </c>
      <c r="L307">
        <v>103</v>
      </c>
      <c r="O307" s="1" t="str">
        <f t="shared" si="16"/>
        <v/>
      </c>
      <c r="P307" s="1">
        <f>ROUND((E307*Tidbruk!$J$1)+(G307*Tidbruk!$J$2),0)</f>
        <v>781</v>
      </c>
      <c r="Q307" s="4">
        <f t="shared" si="17"/>
        <v>14</v>
      </c>
      <c r="R307" s="1">
        <f t="shared" si="18"/>
        <v>2</v>
      </c>
      <c r="S307" s="1">
        <f t="shared" si="19"/>
        <v>8.2840236686390536E-3</v>
      </c>
    </row>
    <row r="308" spans="1:19">
      <c r="A308">
        <v>55</v>
      </c>
      <c r="B308" t="s">
        <v>44</v>
      </c>
      <c r="C308">
        <v>5047</v>
      </c>
      <c r="D308" t="s">
        <v>337</v>
      </c>
      <c r="E308">
        <v>625.24</v>
      </c>
      <c r="F308">
        <v>231</v>
      </c>
      <c r="G308">
        <v>689</v>
      </c>
      <c r="H308">
        <v>3946</v>
      </c>
      <c r="I308">
        <v>0.91</v>
      </c>
      <c r="J308">
        <v>261</v>
      </c>
      <c r="K308">
        <v>158</v>
      </c>
      <c r="L308">
        <v>162</v>
      </c>
      <c r="O308" s="1" t="str">
        <f t="shared" si="16"/>
        <v/>
      </c>
      <c r="P308" s="1">
        <f>ROUND((E308*Tidbruk!$J$1)+(G308*Tidbruk!$J$2),0)</f>
        <v>1013</v>
      </c>
      <c r="Q308" s="4">
        <f t="shared" si="17"/>
        <v>17</v>
      </c>
      <c r="R308" s="1">
        <f t="shared" si="18"/>
        <v>3</v>
      </c>
      <c r="S308" s="1">
        <f t="shared" si="19"/>
        <v>1.0059171597633136E-2</v>
      </c>
    </row>
    <row r="309" spans="1:19">
      <c r="A309">
        <v>32</v>
      </c>
      <c r="B309" t="s">
        <v>84</v>
      </c>
      <c r="C309">
        <v>5049</v>
      </c>
      <c r="D309" t="s">
        <v>338</v>
      </c>
      <c r="E309">
        <v>207.09</v>
      </c>
      <c r="F309">
        <v>331</v>
      </c>
      <c r="G309">
        <v>434</v>
      </c>
      <c r="H309">
        <v>1121</v>
      </c>
      <c r="I309">
        <v>0.48</v>
      </c>
      <c r="J309">
        <v>332</v>
      </c>
      <c r="K309">
        <v>185</v>
      </c>
      <c r="L309">
        <v>147</v>
      </c>
      <c r="O309" s="1" t="str">
        <f t="shared" si="16"/>
        <v/>
      </c>
      <c r="P309" s="1">
        <f>ROUND((E309*Tidbruk!$J$1)+(G309*Tidbruk!$J$2),0)</f>
        <v>470</v>
      </c>
      <c r="Q309" s="4">
        <f t="shared" si="17"/>
        <v>8</v>
      </c>
      <c r="R309" s="1">
        <f t="shared" si="18"/>
        <v>2</v>
      </c>
      <c r="S309" s="1">
        <f t="shared" si="19"/>
        <v>4.7337278106508876E-3</v>
      </c>
    </row>
    <row r="310" spans="1:19">
      <c r="A310">
        <v>31</v>
      </c>
      <c r="B310" t="s">
        <v>90</v>
      </c>
      <c r="C310">
        <v>5052</v>
      </c>
      <c r="D310" t="s">
        <v>339</v>
      </c>
      <c r="E310">
        <v>110.9</v>
      </c>
      <c r="F310">
        <v>346</v>
      </c>
      <c r="G310">
        <v>108</v>
      </c>
      <c r="H310">
        <v>593</v>
      </c>
      <c r="I310">
        <v>1.03</v>
      </c>
      <c r="J310">
        <v>244</v>
      </c>
      <c r="K310">
        <v>187</v>
      </c>
      <c r="L310">
        <v>146</v>
      </c>
      <c r="O310" s="1" t="str">
        <f t="shared" si="16"/>
        <v/>
      </c>
      <c r="P310" s="1">
        <f>ROUND((E310*Tidbruk!$J$1)+(G310*Tidbruk!$J$2),0)</f>
        <v>171</v>
      </c>
      <c r="Q310" s="4">
        <f t="shared" si="17"/>
        <v>3</v>
      </c>
      <c r="R310" s="1">
        <f t="shared" si="18"/>
        <v>1</v>
      </c>
      <c r="S310" s="1">
        <f t="shared" si="19"/>
        <v>1.7751479289940828E-3</v>
      </c>
    </row>
    <row r="311" spans="1:19">
      <c r="A311">
        <v>15</v>
      </c>
      <c r="B311" t="s">
        <v>94</v>
      </c>
      <c r="C311">
        <v>5053</v>
      </c>
      <c r="D311" t="s">
        <v>340</v>
      </c>
      <c r="E311">
        <v>917.64</v>
      </c>
      <c r="F311">
        <v>166</v>
      </c>
      <c r="G311">
        <v>351</v>
      </c>
      <c r="H311">
        <v>7031</v>
      </c>
      <c r="I311">
        <v>2.61</v>
      </c>
      <c r="J311">
        <v>71</v>
      </c>
      <c r="K311">
        <v>131</v>
      </c>
      <c r="L311">
        <v>181</v>
      </c>
      <c r="O311" s="1" t="str">
        <f t="shared" si="16"/>
        <v/>
      </c>
      <c r="P311" s="1">
        <f>ROUND((E311*Tidbruk!$J$1)+(G311*Tidbruk!$J$2),0)</f>
        <v>1058</v>
      </c>
      <c r="Q311" s="4">
        <f t="shared" si="17"/>
        <v>18</v>
      </c>
      <c r="R311" s="1">
        <f t="shared" si="18"/>
        <v>3</v>
      </c>
      <c r="S311" s="1">
        <f t="shared" si="19"/>
        <v>1.0650887573964497E-2</v>
      </c>
    </row>
    <row r="312" spans="1:19">
      <c r="A312">
        <v>18</v>
      </c>
      <c r="B312" t="s">
        <v>73</v>
      </c>
      <c r="C312">
        <v>5054</v>
      </c>
      <c r="D312" t="s">
        <v>341</v>
      </c>
      <c r="E312">
        <v>1648.98</v>
      </c>
      <c r="F312">
        <v>57</v>
      </c>
      <c r="G312">
        <v>1030</v>
      </c>
      <c r="H312">
        <v>10042</v>
      </c>
      <c r="I312">
        <v>1.6</v>
      </c>
      <c r="J312">
        <v>163</v>
      </c>
      <c r="K312">
        <v>164</v>
      </c>
      <c r="L312">
        <v>157</v>
      </c>
      <c r="O312" s="1" t="str">
        <f t="shared" si="16"/>
        <v/>
      </c>
      <c r="P312" s="1">
        <f>ROUND((E312*Tidbruk!$J$1)+(G312*Tidbruk!$J$2),0)</f>
        <v>2160</v>
      </c>
      <c r="Q312" s="4">
        <f t="shared" si="17"/>
        <v>36</v>
      </c>
      <c r="R312" s="1">
        <f t="shared" si="18"/>
        <v>5</v>
      </c>
      <c r="S312" s="1">
        <f t="shared" si="19"/>
        <v>2.1301775147928994E-2</v>
      </c>
    </row>
    <row r="313" spans="1:19">
      <c r="A313">
        <v>50</v>
      </c>
      <c r="B313" t="s">
        <v>21</v>
      </c>
      <c r="C313">
        <v>5055</v>
      </c>
      <c r="D313" t="s">
        <v>342</v>
      </c>
      <c r="E313">
        <v>1264.49</v>
      </c>
      <c r="F313">
        <v>95</v>
      </c>
      <c r="G313">
        <v>980</v>
      </c>
      <c r="H313">
        <v>6134</v>
      </c>
      <c r="I313">
        <v>1.29</v>
      </c>
      <c r="J313">
        <v>205</v>
      </c>
      <c r="K313">
        <v>206</v>
      </c>
      <c r="L313">
        <v>138</v>
      </c>
      <c r="M313">
        <v>38</v>
      </c>
      <c r="N313">
        <v>231</v>
      </c>
      <c r="O313" s="1">
        <f t="shared" si="16"/>
        <v>-81.7</v>
      </c>
      <c r="P313" s="1">
        <f>ROUND((E313*Tidbruk!$J$1)+(G313*Tidbruk!$J$2),0)</f>
        <v>1780</v>
      </c>
      <c r="Q313" s="4">
        <f t="shared" si="17"/>
        <v>30</v>
      </c>
      <c r="R313" s="1">
        <f t="shared" si="18"/>
        <v>4</v>
      </c>
      <c r="S313" s="1">
        <f t="shared" si="19"/>
        <v>1.7751479289940829E-2</v>
      </c>
    </row>
    <row r="314" spans="1:19">
      <c r="A314">
        <v>46</v>
      </c>
      <c r="B314" t="s">
        <v>32</v>
      </c>
      <c r="C314">
        <v>5056</v>
      </c>
      <c r="D314" t="s">
        <v>343</v>
      </c>
      <c r="E314">
        <v>833.69</v>
      </c>
      <c r="F314">
        <v>183</v>
      </c>
      <c r="G314">
        <v>715</v>
      </c>
      <c r="H314">
        <v>5414</v>
      </c>
      <c r="I314">
        <v>1.17</v>
      </c>
      <c r="J314">
        <v>222</v>
      </c>
      <c r="K314">
        <v>154</v>
      </c>
      <c r="L314">
        <v>165</v>
      </c>
      <c r="O314" s="1" t="str">
        <f t="shared" si="16"/>
        <v/>
      </c>
      <c r="P314" s="1">
        <f>ROUND((E314*Tidbruk!$J$1)+(G314*Tidbruk!$J$2),0)</f>
        <v>1219</v>
      </c>
      <c r="Q314" s="4">
        <f t="shared" si="17"/>
        <v>21</v>
      </c>
      <c r="R314" s="1">
        <f t="shared" si="18"/>
        <v>3</v>
      </c>
      <c r="S314" s="1">
        <f t="shared" si="19"/>
        <v>1.242603550295858E-2</v>
      </c>
    </row>
    <row r="315" spans="1:19">
      <c r="A315">
        <v>56</v>
      </c>
      <c r="B315" t="s">
        <v>19</v>
      </c>
      <c r="C315">
        <v>5057</v>
      </c>
      <c r="D315" t="s">
        <v>344</v>
      </c>
      <c r="E315">
        <v>526.37</v>
      </c>
      <c r="F315">
        <v>246</v>
      </c>
      <c r="G315">
        <v>429</v>
      </c>
      <c r="H315">
        <v>10627</v>
      </c>
      <c r="I315">
        <v>1.23</v>
      </c>
      <c r="J315">
        <v>215</v>
      </c>
      <c r="K315">
        <v>50</v>
      </c>
      <c r="L315">
        <v>271</v>
      </c>
      <c r="O315" s="1" t="str">
        <f t="shared" si="16"/>
        <v/>
      </c>
      <c r="P315" s="1">
        <f>ROUND((E315*Tidbruk!$J$1)+(G315*Tidbruk!$J$2),0)</f>
        <v>755</v>
      </c>
      <c r="Q315" s="4">
        <f t="shared" si="17"/>
        <v>13</v>
      </c>
      <c r="R315" s="1">
        <f t="shared" si="18"/>
        <v>2</v>
      </c>
      <c r="S315" s="1">
        <f t="shared" si="19"/>
        <v>7.6923076923076927E-3</v>
      </c>
    </row>
    <row r="316" spans="1:19">
      <c r="A316">
        <v>56</v>
      </c>
      <c r="B316" t="s">
        <v>19</v>
      </c>
      <c r="C316">
        <v>5058</v>
      </c>
      <c r="D316" t="s">
        <v>345</v>
      </c>
      <c r="E316">
        <v>1098.51</v>
      </c>
      <c r="F316">
        <v>124</v>
      </c>
      <c r="G316">
        <v>1251</v>
      </c>
      <c r="H316">
        <v>4342</v>
      </c>
      <c r="I316">
        <v>0.88</v>
      </c>
      <c r="J316">
        <v>268</v>
      </c>
      <c r="K316">
        <v>253</v>
      </c>
      <c r="L316">
        <v>118</v>
      </c>
      <c r="O316" s="1" t="str">
        <f t="shared" si="16"/>
        <v/>
      </c>
      <c r="P316" s="1">
        <f>ROUND((E316*Tidbruk!$J$1)+(G316*Tidbruk!$J$2),0)</f>
        <v>1807</v>
      </c>
      <c r="Q316" s="4">
        <f t="shared" si="17"/>
        <v>31</v>
      </c>
      <c r="R316" s="1">
        <f t="shared" si="18"/>
        <v>5</v>
      </c>
      <c r="S316" s="1">
        <f t="shared" si="19"/>
        <v>1.8343195266272188E-2</v>
      </c>
    </row>
    <row r="317" spans="1:19">
      <c r="A317">
        <v>18</v>
      </c>
      <c r="B317" t="s">
        <v>73</v>
      </c>
      <c r="C317">
        <v>5059</v>
      </c>
      <c r="D317" t="s">
        <v>346</v>
      </c>
      <c r="E317">
        <v>2510.04</v>
      </c>
      <c r="F317">
        <v>17</v>
      </c>
      <c r="G317">
        <v>1818</v>
      </c>
      <c r="H317">
        <v>18798</v>
      </c>
      <c r="I317">
        <v>1.38</v>
      </c>
      <c r="J317">
        <v>194</v>
      </c>
      <c r="K317">
        <v>134</v>
      </c>
      <c r="L317">
        <v>178</v>
      </c>
      <c r="O317" s="1" t="str">
        <f t="shared" si="16"/>
        <v/>
      </c>
      <c r="P317" s="1">
        <f>ROUND((E317*Tidbruk!$J$1)+(G317*Tidbruk!$J$2),0)</f>
        <v>3451</v>
      </c>
      <c r="Q317" s="4">
        <f t="shared" si="17"/>
        <v>58</v>
      </c>
      <c r="R317" s="1">
        <f t="shared" si="18"/>
        <v>8</v>
      </c>
      <c r="S317" s="1">
        <f t="shared" si="19"/>
        <v>3.4319526627218933E-2</v>
      </c>
    </row>
    <row r="318" spans="1:19">
      <c r="A318">
        <v>11</v>
      </c>
      <c r="B318" t="s">
        <v>82</v>
      </c>
      <c r="C318">
        <v>5060</v>
      </c>
      <c r="D318" t="s">
        <v>347</v>
      </c>
      <c r="E318">
        <v>1036.25</v>
      </c>
      <c r="F318">
        <v>137</v>
      </c>
      <c r="G318">
        <v>1286</v>
      </c>
      <c r="H318">
        <v>9921</v>
      </c>
      <c r="I318">
        <v>0.81</v>
      </c>
      <c r="J318">
        <v>283</v>
      </c>
      <c r="K318">
        <v>104</v>
      </c>
      <c r="L318">
        <v>211</v>
      </c>
      <c r="O318" s="1" t="str">
        <f t="shared" si="16"/>
        <v/>
      </c>
      <c r="P318" s="1">
        <f>ROUND((E318*Tidbruk!$J$1)+(G318*Tidbruk!$J$2),0)</f>
        <v>1773</v>
      </c>
      <c r="Q318" s="4">
        <f t="shared" si="17"/>
        <v>30</v>
      </c>
      <c r="R318" s="1">
        <f t="shared" si="18"/>
        <v>4</v>
      </c>
      <c r="S318" s="1">
        <f t="shared" si="19"/>
        <v>1.7751479289940829E-2</v>
      </c>
    </row>
    <row r="319" spans="1:19">
      <c r="A319">
        <v>56</v>
      </c>
      <c r="B319" t="s">
        <v>19</v>
      </c>
      <c r="C319">
        <v>5061</v>
      </c>
      <c r="D319" t="s">
        <v>348</v>
      </c>
      <c r="E319">
        <v>680.39</v>
      </c>
      <c r="F319">
        <v>209</v>
      </c>
      <c r="G319">
        <v>612</v>
      </c>
      <c r="H319">
        <v>1937</v>
      </c>
      <c r="I319">
        <v>1.1100000000000001</v>
      </c>
      <c r="J319">
        <v>228</v>
      </c>
      <c r="K319">
        <v>351</v>
      </c>
      <c r="L319">
        <v>88</v>
      </c>
      <c r="O319" s="1" t="str">
        <f t="shared" si="16"/>
        <v/>
      </c>
      <c r="P319" s="1">
        <f>ROUND((E319*Tidbruk!$J$1)+(G319*Tidbruk!$J$2),0)</f>
        <v>1013</v>
      </c>
      <c r="Q319" s="4">
        <f t="shared" si="17"/>
        <v>17</v>
      </c>
      <c r="R319" s="1">
        <f t="shared" si="18"/>
        <v>3</v>
      </c>
      <c r="S319" s="1">
        <f t="shared" si="19"/>
        <v>1.0059171597633136E-2</v>
      </c>
    </row>
    <row r="320" spans="1:19">
      <c r="A320">
        <v>18</v>
      </c>
      <c r="B320" t="s">
        <v>73</v>
      </c>
      <c r="C320">
        <v>5501</v>
      </c>
      <c r="D320" t="s">
        <v>349</v>
      </c>
      <c r="E320">
        <v>2442.2399999999998</v>
      </c>
      <c r="F320">
        <v>20</v>
      </c>
      <c r="G320">
        <v>2472</v>
      </c>
      <c r="H320">
        <v>79421</v>
      </c>
      <c r="I320">
        <v>0.99</v>
      </c>
      <c r="J320">
        <v>249</v>
      </c>
      <c r="K320">
        <v>31</v>
      </c>
      <c r="L320">
        <v>303</v>
      </c>
      <c r="O320" s="1" t="str">
        <f t="shared" si="16"/>
        <v/>
      </c>
      <c r="P320" s="1">
        <f>ROUND((E320*Tidbruk!$J$1)+(G320*Tidbruk!$J$2),0)</f>
        <v>3816</v>
      </c>
      <c r="Q320" s="4">
        <f t="shared" si="17"/>
        <v>64</v>
      </c>
      <c r="R320" s="1">
        <f t="shared" si="18"/>
        <v>9</v>
      </c>
      <c r="S320" s="1">
        <f t="shared" si="19"/>
        <v>3.7869822485207101E-2</v>
      </c>
    </row>
    <row r="321" spans="1:19">
      <c r="A321">
        <v>15</v>
      </c>
      <c r="B321" t="s">
        <v>94</v>
      </c>
      <c r="C321">
        <v>5503</v>
      </c>
      <c r="D321" t="s">
        <v>350</v>
      </c>
      <c r="E321">
        <v>1503.82</v>
      </c>
      <c r="F321">
        <v>65</v>
      </c>
      <c r="G321">
        <v>428</v>
      </c>
      <c r="H321">
        <v>25167</v>
      </c>
      <c r="I321">
        <v>3.51</v>
      </c>
      <c r="J321">
        <v>20</v>
      </c>
      <c r="K321">
        <v>60</v>
      </c>
      <c r="L321">
        <v>264</v>
      </c>
      <c r="O321" s="1" t="str">
        <f t="shared" si="16"/>
        <v/>
      </c>
      <c r="P321" s="1">
        <f>ROUND((E321*Tidbruk!$J$1)+(G321*Tidbruk!$J$2),0)</f>
        <v>1637</v>
      </c>
      <c r="Q321" s="4">
        <f t="shared" si="17"/>
        <v>28</v>
      </c>
      <c r="R321" s="1">
        <f t="shared" si="18"/>
        <v>4</v>
      </c>
      <c r="S321" s="1">
        <f t="shared" si="19"/>
        <v>1.6568047337278107E-2</v>
      </c>
    </row>
    <row r="322" spans="1:19">
      <c r="A322">
        <v>32</v>
      </c>
      <c r="B322" t="s">
        <v>84</v>
      </c>
      <c r="C322">
        <v>5510</v>
      </c>
      <c r="D322" t="s">
        <v>351</v>
      </c>
      <c r="E322">
        <v>732.98</v>
      </c>
      <c r="F322">
        <v>196</v>
      </c>
      <c r="G322">
        <v>497</v>
      </c>
      <c r="H322">
        <v>2852</v>
      </c>
      <c r="I322">
        <v>1.47</v>
      </c>
      <c r="J322">
        <v>177</v>
      </c>
      <c r="K322">
        <v>257</v>
      </c>
      <c r="L322">
        <v>116</v>
      </c>
      <c r="O322" s="1" t="str">
        <f t="shared" ref="O322:O358" si="20">IF(N322&gt;0,ROUND((N322-E322)/E322*100,1),"")</f>
        <v/>
      </c>
      <c r="P322" s="1">
        <f>ROUND((E322*Tidbruk!$J$1)+(G322*Tidbruk!$J$2),0)</f>
        <v>986</v>
      </c>
      <c r="Q322" s="4">
        <f t="shared" si="17"/>
        <v>17</v>
      </c>
      <c r="R322" s="1">
        <f t="shared" si="18"/>
        <v>3</v>
      </c>
      <c r="S322" s="1">
        <f t="shared" si="19"/>
        <v>1.0059171597633136E-2</v>
      </c>
    </row>
    <row r="323" spans="1:19">
      <c r="A323">
        <v>32</v>
      </c>
      <c r="B323" t="s">
        <v>84</v>
      </c>
      <c r="C323">
        <v>5512</v>
      </c>
      <c r="D323" t="s">
        <v>352</v>
      </c>
      <c r="E323">
        <v>1053.1300000000001</v>
      </c>
      <c r="F323">
        <v>134</v>
      </c>
      <c r="G323">
        <v>775</v>
      </c>
      <c r="H323">
        <v>4209</v>
      </c>
      <c r="I323">
        <v>1.36</v>
      </c>
      <c r="J323">
        <v>196</v>
      </c>
      <c r="K323">
        <v>250</v>
      </c>
      <c r="L323">
        <v>119</v>
      </c>
      <c r="O323" s="1" t="str">
        <f t="shared" si="20"/>
        <v/>
      </c>
      <c r="P323" s="1">
        <f>ROUND((E323*Tidbruk!$J$1)+(G323*Tidbruk!$J$2),0)</f>
        <v>1456</v>
      </c>
      <c r="Q323" s="4">
        <f t="shared" ref="Q323:Q358" si="21">ROUNDUP(P323/60,0)</f>
        <v>25</v>
      </c>
      <c r="R323" s="1">
        <f t="shared" ref="R323:R358" si="22">ROUNDUP(Q323/7.5,0)</f>
        <v>4</v>
      </c>
      <c r="S323" s="1">
        <f t="shared" ref="S323:S358" si="23">Q323/1690</f>
        <v>1.4792899408284023E-2</v>
      </c>
    </row>
    <row r="324" spans="1:19">
      <c r="A324">
        <v>56</v>
      </c>
      <c r="B324" t="s">
        <v>19</v>
      </c>
      <c r="C324">
        <v>5514</v>
      </c>
      <c r="D324" t="s">
        <v>353</v>
      </c>
      <c r="E324">
        <v>408.08</v>
      </c>
      <c r="F324">
        <v>280</v>
      </c>
      <c r="G324">
        <v>234</v>
      </c>
      <c r="H324">
        <v>1301</v>
      </c>
      <c r="I324">
        <v>1.74</v>
      </c>
      <c r="J324">
        <v>148</v>
      </c>
      <c r="K324">
        <v>314</v>
      </c>
      <c r="L324">
        <v>99</v>
      </c>
      <c r="O324" s="1" t="str">
        <f t="shared" si="20"/>
        <v/>
      </c>
      <c r="P324" s="1">
        <f>ROUND((E324*Tidbruk!$J$1)+(G324*Tidbruk!$J$2),0)</f>
        <v>521</v>
      </c>
      <c r="Q324" s="4">
        <f t="shared" si="21"/>
        <v>9</v>
      </c>
      <c r="R324" s="1">
        <f t="shared" si="22"/>
        <v>2</v>
      </c>
      <c r="S324" s="1">
        <f t="shared" si="23"/>
        <v>5.3254437869822485E-3</v>
      </c>
    </row>
    <row r="325" spans="1:19">
      <c r="A325">
        <v>15</v>
      </c>
      <c r="B325" t="s">
        <v>94</v>
      </c>
      <c r="C325">
        <v>5516</v>
      </c>
      <c r="D325" t="s">
        <v>354</v>
      </c>
      <c r="E325">
        <v>299.02</v>
      </c>
      <c r="F325">
        <v>299</v>
      </c>
      <c r="G325">
        <v>306</v>
      </c>
      <c r="H325">
        <v>1062</v>
      </c>
      <c r="I325">
        <v>0.98</v>
      </c>
      <c r="J325">
        <v>252</v>
      </c>
      <c r="K325">
        <v>282</v>
      </c>
      <c r="L325">
        <v>107</v>
      </c>
      <c r="O325" s="1" t="str">
        <f t="shared" si="20"/>
        <v/>
      </c>
      <c r="P325" s="1">
        <f>ROUND((E325*Tidbruk!$J$1)+(G325*Tidbruk!$J$2),0)</f>
        <v>469</v>
      </c>
      <c r="Q325" s="4">
        <f t="shared" si="21"/>
        <v>8</v>
      </c>
      <c r="R325" s="1">
        <f t="shared" si="22"/>
        <v>2</v>
      </c>
      <c r="S325" s="1">
        <f t="shared" si="23"/>
        <v>4.7337278106508876E-3</v>
      </c>
    </row>
    <row r="326" spans="1:19">
      <c r="A326">
        <v>46</v>
      </c>
      <c r="B326" t="s">
        <v>32</v>
      </c>
      <c r="C326">
        <v>5518</v>
      </c>
      <c r="D326" t="s">
        <v>355</v>
      </c>
      <c r="E326">
        <v>263.07</v>
      </c>
      <c r="F326">
        <v>307</v>
      </c>
      <c r="G326">
        <v>296</v>
      </c>
      <c r="H326">
        <v>985</v>
      </c>
      <c r="I326">
        <v>0.89</v>
      </c>
      <c r="J326">
        <v>266</v>
      </c>
      <c r="K326">
        <v>267</v>
      </c>
      <c r="L326">
        <v>114</v>
      </c>
      <c r="O326" s="1" t="str">
        <f t="shared" si="20"/>
        <v/>
      </c>
      <c r="P326" s="1">
        <f>ROUND((E326*Tidbruk!$J$1)+(G326*Tidbruk!$J$2),0)</f>
        <v>430</v>
      </c>
      <c r="Q326" s="4">
        <f t="shared" si="21"/>
        <v>8</v>
      </c>
      <c r="R326" s="1">
        <f t="shared" si="22"/>
        <v>2</v>
      </c>
      <c r="S326" s="1">
        <f t="shared" si="23"/>
        <v>4.7337278106508876E-3</v>
      </c>
    </row>
    <row r="327" spans="1:19">
      <c r="A327">
        <v>15</v>
      </c>
      <c r="B327" t="s">
        <v>94</v>
      </c>
      <c r="C327">
        <v>5520</v>
      </c>
      <c r="D327" t="s">
        <v>356</v>
      </c>
      <c r="E327">
        <v>1106.08</v>
      </c>
      <c r="F327">
        <v>122</v>
      </c>
      <c r="G327">
        <v>2514</v>
      </c>
      <c r="H327">
        <v>3961</v>
      </c>
      <c r="I327">
        <v>0.44</v>
      </c>
      <c r="J327">
        <v>335</v>
      </c>
      <c r="K327">
        <v>279</v>
      </c>
      <c r="L327">
        <v>109</v>
      </c>
      <c r="O327" s="1" t="str">
        <f t="shared" si="20"/>
        <v/>
      </c>
      <c r="P327" s="1">
        <f>ROUND((E327*Tidbruk!$J$1)+(G327*Tidbruk!$J$2),0)</f>
        <v>2636</v>
      </c>
      <c r="Q327" s="4">
        <f t="shared" si="21"/>
        <v>44</v>
      </c>
      <c r="R327" s="1">
        <f t="shared" si="22"/>
        <v>6</v>
      </c>
      <c r="S327" s="1">
        <f t="shared" si="23"/>
        <v>2.6035502958579881E-2</v>
      </c>
    </row>
    <row r="328" spans="1:19">
      <c r="A328">
        <v>18</v>
      </c>
      <c r="B328" t="s">
        <v>73</v>
      </c>
      <c r="C328">
        <v>5522</v>
      </c>
      <c r="D328" t="s">
        <v>357</v>
      </c>
      <c r="E328">
        <v>477.39</v>
      </c>
      <c r="F328">
        <v>261</v>
      </c>
      <c r="G328">
        <v>438</v>
      </c>
      <c r="H328">
        <v>2116</v>
      </c>
      <c r="I328">
        <v>1.0900000000000001</v>
      </c>
      <c r="J328">
        <v>232</v>
      </c>
      <c r="K328">
        <v>226</v>
      </c>
      <c r="L328">
        <v>132</v>
      </c>
      <c r="O328" s="1" t="str">
        <f t="shared" si="20"/>
        <v/>
      </c>
      <c r="P328" s="1">
        <f>ROUND((E328*Tidbruk!$J$1)+(G328*Tidbruk!$J$2),0)</f>
        <v>716</v>
      </c>
      <c r="Q328" s="4">
        <f t="shared" si="21"/>
        <v>12</v>
      </c>
      <c r="R328" s="1">
        <f t="shared" si="22"/>
        <v>2</v>
      </c>
      <c r="S328" s="1">
        <f t="shared" si="23"/>
        <v>7.100591715976331E-3</v>
      </c>
    </row>
    <row r="329" spans="1:19">
      <c r="A329">
        <v>15</v>
      </c>
      <c r="B329" t="s">
        <v>94</v>
      </c>
      <c r="C329">
        <v>5524</v>
      </c>
      <c r="D329" t="s">
        <v>358</v>
      </c>
      <c r="E329">
        <v>2449.13</v>
      </c>
      <c r="F329">
        <v>19</v>
      </c>
      <c r="G329">
        <v>3203</v>
      </c>
      <c r="H329">
        <v>6794</v>
      </c>
      <c r="I329">
        <v>0.76</v>
      </c>
      <c r="J329">
        <v>290</v>
      </c>
      <c r="K329">
        <v>360</v>
      </c>
      <c r="L329">
        <v>83</v>
      </c>
      <c r="O329" s="1" t="str">
        <f t="shared" si="20"/>
        <v/>
      </c>
      <c r="P329" s="1">
        <f>ROUND((E329*Tidbruk!$J$1)+(G329*Tidbruk!$J$2),0)</f>
        <v>4298</v>
      </c>
      <c r="Q329" s="4">
        <f t="shared" si="21"/>
        <v>72</v>
      </c>
      <c r="R329" s="1">
        <f t="shared" si="22"/>
        <v>10</v>
      </c>
      <c r="S329" s="1">
        <f t="shared" si="23"/>
        <v>4.2603550295857988E-2</v>
      </c>
    </row>
    <row r="330" spans="1:19">
      <c r="A330">
        <v>18</v>
      </c>
      <c r="B330" t="s">
        <v>73</v>
      </c>
      <c r="C330">
        <v>5526</v>
      </c>
      <c r="D330" t="s">
        <v>359</v>
      </c>
      <c r="E330">
        <v>449.73</v>
      </c>
      <c r="F330">
        <v>269</v>
      </c>
      <c r="G330">
        <v>347</v>
      </c>
      <c r="H330">
        <v>3533</v>
      </c>
      <c r="I330">
        <v>1.3</v>
      </c>
      <c r="J330">
        <v>204</v>
      </c>
      <c r="K330">
        <v>127</v>
      </c>
      <c r="L330">
        <v>186</v>
      </c>
      <c r="O330" s="1" t="str">
        <f t="shared" si="20"/>
        <v/>
      </c>
      <c r="P330" s="1">
        <f>ROUND((E330*Tidbruk!$J$1)+(G330*Tidbruk!$J$2),0)</f>
        <v>632</v>
      </c>
      <c r="Q330" s="4">
        <f t="shared" si="21"/>
        <v>11</v>
      </c>
      <c r="R330" s="1">
        <f t="shared" si="22"/>
        <v>2</v>
      </c>
      <c r="S330" s="1">
        <f t="shared" si="23"/>
        <v>6.5088757396449702E-3</v>
      </c>
    </row>
    <row r="331" spans="1:19">
      <c r="A331">
        <v>46</v>
      </c>
      <c r="B331" t="s">
        <v>32</v>
      </c>
      <c r="C331">
        <v>5528</v>
      </c>
      <c r="D331" t="s">
        <v>360</v>
      </c>
      <c r="E331">
        <v>305.35000000000002</v>
      </c>
      <c r="F331">
        <v>298</v>
      </c>
      <c r="G331">
        <v>277</v>
      </c>
      <c r="H331">
        <v>1069</v>
      </c>
      <c r="I331">
        <v>1.1000000000000001</v>
      </c>
      <c r="J331">
        <v>229</v>
      </c>
      <c r="K331">
        <v>286</v>
      </c>
      <c r="L331">
        <v>104</v>
      </c>
      <c r="O331" s="1" t="str">
        <f t="shared" si="20"/>
        <v/>
      </c>
      <c r="P331" s="1">
        <f>ROUND((E331*Tidbruk!$J$1)+(G331*Tidbruk!$J$2),0)</f>
        <v>456</v>
      </c>
      <c r="Q331" s="4">
        <f t="shared" si="21"/>
        <v>8</v>
      </c>
      <c r="R331" s="1">
        <f t="shared" si="22"/>
        <v>2</v>
      </c>
      <c r="S331" s="1">
        <f t="shared" si="23"/>
        <v>4.7337278106508876E-3</v>
      </c>
    </row>
    <row r="332" spans="1:19">
      <c r="A332">
        <v>50</v>
      </c>
      <c r="B332" t="s">
        <v>21</v>
      </c>
      <c r="C332">
        <v>5530</v>
      </c>
      <c r="D332" t="s">
        <v>361</v>
      </c>
      <c r="E332">
        <v>2138.08</v>
      </c>
      <c r="F332">
        <v>31</v>
      </c>
      <c r="G332">
        <v>1861</v>
      </c>
      <c r="H332">
        <v>14948</v>
      </c>
      <c r="I332">
        <v>1.1499999999999999</v>
      </c>
      <c r="J332">
        <v>224</v>
      </c>
      <c r="K332">
        <v>143</v>
      </c>
      <c r="L332">
        <v>173</v>
      </c>
      <c r="O332" s="1" t="str">
        <f t="shared" si="20"/>
        <v/>
      </c>
      <c r="P332" s="1">
        <f>ROUND((E332*Tidbruk!$J$1)+(G332*Tidbruk!$J$2),0)</f>
        <v>3143</v>
      </c>
      <c r="Q332" s="4">
        <f t="shared" si="21"/>
        <v>53</v>
      </c>
      <c r="R332" s="1">
        <f t="shared" si="22"/>
        <v>8</v>
      </c>
      <c r="S332" s="1">
        <f t="shared" si="23"/>
        <v>3.1360946745562134E-2</v>
      </c>
    </row>
    <row r="333" spans="1:19">
      <c r="A333">
        <v>31</v>
      </c>
      <c r="B333" t="s">
        <v>90</v>
      </c>
      <c r="C333">
        <v>5532</v>
      </c>
      <c r="D333" t="s">
        <v>362</v>
      </c>
      <c r="E333">
        <v>2010.49</v>
      </c>
      <c r="F333">
        <v>37</v>
      </c>
      <c r="G333">
        <v>1440</v>
      </c>
      <c r="H333">
        <v>5595</v>
      </c>
      <c r="I333">
        <v>1.4</v>
      </c>
      <c r="J333">
        <v>188</v>
      </c>
      <c r="K333">
        <v>359</v>
      </c>
      <c r="L333">
        <v>84</v>
      </c>
      <c r="O333" s="1" t="str">
        <f t="shared" si="20"/>
        <v/>
      </c>
      <c r="P333" s="1">
        <f>ROUND((E333*Tidbruk!$J$1)+(G333*Tidbruk!$J$2),0)</f>
        <v>2754</v>
      </c>
      <c r="Q333" s="4">
        <f t="shared" si="21"/>
        <v>46</v>
      </c>
      <c r="R333" s="1">
        <f t="shared" si="22"/>
        <v>7</v>
      </c>
      <c r="S333" s="1">
        <f t="shared" si="23"/>
        <v>2.7218934911242602E-2</v>
      </c>
    </row>
    <row r="334" spans="1:19">
      <c r="A334">
        <v>18</v>
      </c>
      <c r="B334" t="s">
        <v>73</v>
      </c>
      <c r="C334">
        <v>5534</v>
      </c>
      <c r="D334" t="s">
        <v>363</v>
      </c>
      <c r="E334">
        <v>907.04</v>
      </c>
      <c r="F334">
        <v>170</v>
      </c>
      <c r="G334">
        <v>1051</v>
      </c>
      <c r="H334">
        <v>2223</v>
      </c>
      <c r="I334">
        <v>0.86</v>
      </c>
      <c r="J334">
        <v>273</v>
      </c>
      <c r="K334">
        <v>408</v>
      </c>
      <c r="L334">
        <v>67</v>
      </c>
      <c r="O334" s="1" t="str">
        <f t="shared" si="20"/>
        <v/>
      </c>
      <c r="P334" s="1">
        <f>ROUND((E334*Tidbruk!$J$1)+(G334*Tidbruk!$J$2),0)</f>
        <v>1504</v>
      </c>
      <c r="Q334" s="4">
        <f t="shared" si="21"/>
        <v>26</v>
      </c>
      <c r="R334" s="1">
        <f t="shared" si="22"/>
        <v>4</v>
      </c>
      <c r="S334" s="1">
        <f t="shared" si="23"/>
        <v>1.5384615384615385E-2</v>
      </c>
    </row>
    <row r="335" spans="1:19">
      <c r="A335">
        <v>11</v>
      </c>
      <c r="B335" t="s">
        <v>82</v>
      </c>
      <c r="C335">
        <v>5536</v>
      </c>
      <c r="D335" t="s">
        <v>364</v>
      </c>
      <c r="E335">
        <v>631.47</v>
      </c>
      <c r="F335">
        <v>229</v>
      </c>
      <c r="G335">
        <v>795</v>
      </c>
      <c r="H335">
        <v>2734</v>
      </c>
      <c r="I335">
        <v>0.79</v>
      </c>
      <c r="J335">
        <v>288</v>
      </c>
      <c r="K335">
        <v>231</v>
      </c>
      <c r="L335">
        <v>129</v>
      </c>
      <c r="O335" s="1" t="str">
        <f t="shared" si="20"/>
        <v/>
      </c>
      <c r="P335" s="1">
        <f>ROUND((E335*Tidbruk!$J$1)+(G335*Tidbruk!$J$2),0)</f>
        <v>1088</v>
      </c>
      <c r="Q335" s="4">
        <f t="shared" si="21"/>
        <v>19</v>
      </c>
      <c r="R335" s="1">
        <f t="shared" si="22"/>
        <v>3</v>
      </c>
      <c r="S335" s="1">
        <f t="shared" si="23"/>
        <v>1.1242603550295858E-2</v>
      </c>
    </row>
    <row r="336" spans="1:19">
      <c r="A336">
        <v>15</v>
      </c>
      <c r="B336" t="s">
        <v>94</v>
      </c>
      <c r="C336">
        <v>5538</v>
      </c>
      <c r="D336" t="s">
        <v>365</v>
      </c>
      <c r="E336">
        <v>773.97</v>
      </c>
      <c r="F336">
        <v>193</v>
      </c>
      <c r="G336">
        <v>1477</v>
      </c>
      <c r="H336">
        <v>1829</v>
      </c>
      <c r="I336">
        <v>0.52</v>
      </c>
      <c r="J336">
        <v>325</v>
      </c>
      <c r="K336">
        <v>423</v>
      </c>
      <c r="L336">
        <v>66</v>
      </c>
      <c r="O336" s="1" t="str">
        <f t="shared" si="20"/>
        <v/>
      </c>
      <c r="P336" s="1">
        <f>ROUND((E336*Tidbruk!$J$1)+(G336*Tidbruk!$J$2),0)</f>
        <v>1661</v>
      </c>
      <c r="Q336" s="4">
        <f t="shared" si="21"/>
        <v>28</v>
      </c>
      <c r="R336" s="1">
        <f t="shared" si="22"/>
        <v>4</v>
      </c>
      <c r="S336" s="1">
        <f t="shared" si="23"/>
        <v>1.6568047337278107E-2</v>
      </c>
    </row>
    <row r="337" spans="1:19">
      <c r="A337">
        <v>39</v>
      </c>
      <c r="B337" t="s">
        <v>60</v>
      </c>
      <c r="C337">
        <v>5540</v>
      </c>
      <c r="D337" t="s">
        <v>366</v>
      </c>
      <c r="E337">
        <v>495.91</v>
      </c>
      <c r="F337">
        <v>255</v>
      </c>
      <c r="G337">
        <v>950</v>
      </c>
      <c r="H337">
        <v>1955</v>
      </c>
      <c r="I337">
        <v>0.52</v>
      </c>
      <c r="J337">
        <v>325</v>
      </c>
      <c r="K337">
        <v>254</v>
      </c>
      <c r="L337">
        <v>117</v>
      </c>
      <c r="O337" s="1" t="str">
        <f t="shared" si="20"/>
        <v/>
      </c>
      <c r="P337" s="1">
        <f>ROUND((E337*Tidbruk!$J$1)+(G337*Tidbruk!$J$2),0)</f>
        <v>1067</v>
      </c>
      <c r="Q337" s="4">
        <f t="shared" si="21"/>
        <v>18</v>
      </c>
      <c r="R337" s="1">
        <f t="shared" si="22"/>
        <v>3</v>
      </c>
      <c r="S337" s="1">
        <f t="shared" si="23"/>
        <v>1.0650887573964497E-2</v>
      </c>
    </row>
    <row r="338" spans="1:19">
      <c r="A338">
        <v>50</v>
      </c>
      <c r="B338" t="s">
        <v>21</v>
      </c>
      <c r="C338">
        <v>5542</v>
      </c>
      <c r="D338" t="s">
        <v>367</v>
      </c>
      <c r="E338">
        <v>393.16</v>
      </c>
      <c r="F338">
        <v>284</v>
      </c>
      <c r="G338">
        <v>465</v>
      </c>
      <c r="H338">
        <v>2784</v>
      </c>
      <c r="I338">
        <v>0.85</v>
      </c>
      <c r="J338">
        <v>277</v>
      </c>
      <c r="K338">
        <v>141</v>
      </c>
      <c r="L338">
        <v>174</v>
      </c>
      <c r="O338" s="1" t="str">
        <f t="shared" si="20"/>
        <v/>
      </c>
      <c r="P338" s="1">
        <f>ROUND((E338*Tidbruk!$J$1)+(G338*Tidbruk!$J$2),0)</f>
        <v>658</v>
      </c>
      <c r="Q338" s="4">
        <f t="shared" si="21"/>
        <v>11</v>
      </c>
      <c r="R338" s="1">
        <f t="shared" si="22"/>
        <v>2</v>
      </c>
      <c r="S338" s="1">
        <f t="shared" si="23"/>
        <v>6.5088757396449702E-3</v>
      </c>
    </row>
    <row r="339" spans="1:19">
      <c r="A339">
        <v>32</v>
      </c>
      <c r="B339" t="s">
        <v>84</v>
      </c>
      <c r="C339">
        <v>5544</v>
      </c>
      <c r="D339" t="s">
        <v>368</v>
      </c>
      <c r="E339">
        <v>1127.31</v>
      </c>
      <c r="F339">
        <v>118</v>
      </c>
      <c r="G339">
        <v>3334</v>
      </c>
      <c r="H339">
        <v>4810</v>
      </c>
      <c r="I339">
        <v>0.34</v>
      </c>
      <c r="J339">
        <v>348</v>
      </c>
      <c r="K339">
        <v>234</v>
      </c>
      <c r="L339">
        <v>128</v>
      </c>
      <c r="O339" s="1" t="str">
        <f t="shared" si="20"/>
        <v/>
      </c>
      <c r="P339" s="1">
        <f>ROUND((E339*Tidbruk!$J$1)+(G339*Tidbruk!$J$2),0)</f>
        <v>3189</v>
      </c>
      <c r="Q339" s="4">
        <f t="shared" si="21"/>
        <v>54</v>
      </c>
      <c r="R339" s="1">
        <f t="shared" si="22"/>
        <v>8</v>
      </c>
      <c r="S339" s="1">
        <f t="shared" si="23"/>
        <v>3.1952662721893489E-2</v>
      </c>
    </row>
    <row r="340" spans="1:19">
      <c r="A340">
        <v>31</v>
      </c>
      <c r="B340" t="s">
        <v>90</v>
      </c>
      <c r="C340">
        <v>5546</v>
      </c>
      <c r="D340" t="s">
        <v>369</v>
      </c>
      <c r="E340">
        <v>719.15</v>
      </c>
      <c r="F340">
        <v>199</v>
      </c>
      <c r="G340">
        <v>2008</v>
      </c>
      <c r="H340">
        <v>1131</v>
      </c>
      <c r="I340">
        <v>0.36</v>
      </c>
      <c r="J340">
        <v>344</v>
      </c>
      <c r="K340">
        <v>636</v>
      </c>
      <c r="L340">
        <v>29</v>
      </c>
      <c r="O340" s="1" t="str">
        <f t="shared" si="20"/>
        <v/>
      </c>
      <c r="P340" s="1">
        <f>ROUND((E340*Tidbruk!$J$1)+(G340*Tidbruk!$J$2),0)</f>
        <v>1957</v>
      </c>
      <c r="Q340" s="4">
        <f t="shared" si="21"/>
        <v>33</v>
      </c>
      <c r="R340" s="1">
        <f t="shared" si="22"/>
        <v>5</v>
      </c>
      <c r="S340" s="1">
        <f t="shared" si="23"/>
        <v>1.952662721893491E-2</v>
      </c>
    </row>
    <row r="341" spans="1:19">
      <c r="A341">
        <v>18</v>
      </c>
      <c r="B341" t="s">
        <v>73</v>
      </c>
      <c r="C341">
        <v>5601</v>
      </c>
      <c r="D341" t="s">
        <v>370</v>
      </c>
      <c r="E341">
        <v>2416.34</v>
      </c>
      <c r="F341">
        <v>21</v>
      </c>
      <c r="G341">
        <v>3651</v>
      </c>
      <c r="H341">
        <v>21877</v>
      </c>
      <c r="I341">
        <v>0.66</v>
      </c>
      <c r="J341">
        <v>304</v>
      </c>
      <c r="K341">
        <v>110</v>
      </c>
      <c r="L341">
        <v>203</v>
      </c>
      <c r="O341" s="1" t="str">
        <f t="shared" si="20"/>
        <v/>
      </c>
      <c r="P341" s="1">
        <f>ROUND((E341*Tidbruk!$J$1)+(G341*Tidbruk!$J$2),0)</f>
        <v>4560</v>
      </c>
      <c r="Q341" s="4">
        <f t="shared" si="21"/>
        <v>76</v>
      </c>
      <c r="R341" s="1">
        <f t="shared" si="22"/>
        <v>11</v>
      </c>
      <c r="S341" s="1">
        <f t="shared" si="23"/>
        <v>4.4970414201183431E-2</v>
      </c>
    </row>
    <row r="342" spans="1:19">
      <c r="A342">
        <v>32</v>
      </c>
      <c r="B342" t="s">
        <v>84</v>
      </c>
      <c r="C342">
        <v>5603</v>
      </c>
      <c r="D342" t="s">
        <v>371</v>
      </c>
      <c r="E342">
        <v>1125.7</v>
      </c>
      <c r="F342">
        <v>119</v>
      </c>
      <c r="G342">
        <v>2558</v>
      </c>
      <c r="H342">
        <v>11324</v>
      </c>
      <c r="I342">
        <v>0.44</v>
      </c>
      <c r="J342">
        <v>335</v>
      </c>
      <c r="K342">
        <v>99</v>
      </c>
      <c r="L342">
        <v>216</v>
      </c>
      <c r="O342" s="1" t="str">
        <f t="shared" si="20"/>
        <v/>
      </c>
      <c r="P342" s="1">
        <f>ROUND((E342*Tidbruk!$J$1)+(G342*Tidbruk!$J$2),0)</f>
        <v>2682</v>
      </c>
      <c r="Q342" s="4">
        <f t="shared" si="21"/>
        <v>45</v>
      </c>
      <c r="R342" s="1">
        <f t="shared" si="22"/>
        <v>6</v>
      </c>
      <c r="S342" s="1">
        <f t="shared" si="23"/>
        <v>2.6627218934911243E-2</v>
      </c>
    </row>
    <row r="343" spans="1:19">
      <c r="A343">
        <v>15</v>
      </c>
      <c r="B343" t="s">
        <v>94</v>
      </c>
      <c r="C343">
        <v>5605</v>
      </c>
      <c r="D343" t="s">
        <v>372</v>
      </c>
      <c r="E343">
        <v>1589.23</v>
      </c>
      <c r="F343">
        <v>63</v>
      </c>
      <c r="G343">
        <v>3459</v>
      </c>
      <c r="H343">
        <v>9963</v>
      </c>
      <c r="I343">
        <v>0.46</v>
      </c>
      <c r="J343">
        <v>333</v>
      </c>
      <c r="K343">
        <v>160</v>
      </c>
      <c r="L343">
        <v>160</v>
      </c>
      <c r="O343" s="1" t="str">
        <f t="shared" si="20"/>
        <v/>
      </c>
      <c r="P343" s="1">
        <f>ROUND((E343*Tidbruk!$J$1)+(G343*Tidbruk!$J$2),0)</f>
        <v>3688</v>
      </c>
      <c r="Q343" s="4">
        <f t="shared" si="21"/>
        <v>62</v>
      </c>
      <c r="R343" s="1">
        <f t="shared" si="22"/>
        <v>9</v>
      </c>
      <c r="S343" s="1">
        <f t="shared" si="23"/>
        <v>3.6686390532544376E-2</v>
      </c>
    </row>
    <row r="344" spans="1:19">
      <c r="A344">
        <v>11</v>
      </c>
      <c r="B344" t="s">
        <v>82</v>
      </c>
      <c r="C344">
        <v>5607</v>
      </c>
      <c r="D344" t="s">
        <v>373</v>
      </c>
      <c r="E344">
        <v>1001.43</v>
      </c>
      <c r="F344">
        <v>147</v>
      </c>
      <c r="G344">
        <v>1233</v>
      </c>
      <c r="H344">
        <v>5777</v>
      </c>
      <c r="I344">
        <v>0.81</v>
      </c>
      <c r="J344">
        <v>283</v>
      </c>
      <c r="K344">
        <v>173</v>
      </c>
      <c r="L344">
        <v>154</v>
      </c>
      <c r="O344" s="1" t="str">
        <f t="shared" si="20"/>
        <v/>
      </c>
      <c r="P344" s="1">
        <f>ROUND((E344*Tidbruk!$J$1)+(G344*Tidbruk!$J$2),0)</f>
        <v>1708</v>
      </c>
      <c r="Q344" s="4">
        <f t="shared" si="21"/>
        <v>29</v>
      </c>
      <c r="R344" s="1">
        <f t="shared" si="22"/>
        <v>4</v>
      </c>
      <c r="S344" s="1">
        <f t="shared" si="23"/>
        <v>1.7159763313609466E-2</v>
      </c>
    </row>
    <row r="345" spans="1:19">
      <c r="A345">
        <v>46</v>
      </c>
      <c r="B345" t="s">
        <v>32</v>
      </c>
      <c r="C345">
        <v>5610</v>
      </c>
      <c r="D345" t="s">
        <v>374</v>
      </c>
      <c r="E345">
        <v>2643.28</v>
      </c>
      <c r="F345">
        <v>11</v>
      </c>
      <c r="G345">
        <v>5211</v>
      </c>
      <c r="H345">
        <v>2524</v>
      </c>
      <c r="I345">
        <v>0.51</v>
      </c>
      <c r="J345">
        <v>327</v>
      </c>
      <c r="K345">
        <v>1047</v>
      </c>
      <c r="L345">
        <v>11</v>
      </c>
      <c r="O345" s="1" t="str">
        <f t="shared" si="20"/>
        <v/>
      </c>
      <c r="P345" s="1">
        <f>ROUND((E345*Tidbruk!$J$1)+(G345*Tidbruk!$J$2),0)</f>
        <v>5781</v>
      </c>
      <c r="Q345" s="4">
        <f t="shared" si="21"/>
        <v>97</v>
      </c>
      <c r="R345" s="1">
        <f t="shared" si="22"/>
        <v>13</v>
      </c>
      <c r="S345" s="1">
        <f t="shared" si="23"/>
        <v>5.7396449704142011E-2</v>
      </c>
    </row>
    <row r="346" spans="1:19">
      <c r="A346">
        <v>18</v>
      </c>
      <c r="B346" t="s">
        <v>73</v>
      </c>
      <c r="C346">
        <v>5612</v>
      </c>
      <c r="D346" t="s">
        <v>375</v>
      </c>
      <c r="E346">
        <v>5442.12</v>
      </c>
      <c r="F346">
        <v>1</v>
      </c>
      <c r="G346">
        <v>8972</v>
      </c>
      <c r="H346">
        <v>2852</v>
      </c>
      <c r="I346">
        <v>0.61</v>
      </c>
      <c r="J346">
        <v>313</v>
      </c>
      <c r="K346">
        <v>1908</v>
      </c>
      <c r="L346">
        <v>1</v>
      </c>
      <c r="O346" s="1" t="str">
        <f t="shared" si="20"/>
        <v/>
      </c>
      <c r="P346" s="1">
        <f>ROUND((E346*Tidbruk!$J$1)+(G346*Tidbruk!$J$2),0)</f>
        <v>10758</v>
      </c>
      <c r="Q346" s="4">
        <f t="shared" si="21"/>
        <v>180</v>
      </c>
      <c r="R346" s="1">
        <f t="shared" si="22"/>
        <v>24</v>
      </c>
      <c r="S346" s="1">
        <f t="shared" si="23"/>
        <v>0.10650887573964497</v>
      </c>
    </row>
    <row r="347" spans="1:19">
      <c r="A347">
        <v>50</v>
      </c>
      <c r="B347" t="s">
        <v>21</v>
      </c>
      <c r="C347">
        <v>5614</v>
      </c>
      <c r="D347" t="s">
        <v>376</v>
      </c>
      <c r="E347">
        <v>289.52</v>
      </c>
      <c r="F347">
        <v>301</v>
      </c>
      <c r="G347">
        <v>671</v>
      </c>
      <c r="H347">
        <v>864</v>
      </c>
      <c r="I347">
        <v>0.43</v>
      </c>
      <c r="J347">
        <v>339</v>
      </c>
      <c r="K347">
        <v>335</v>
      </c>
      <c r="L347">
        <v>93</v>
      </c>
      <c r="O347" s="1" t="str">
        <f t="shared" si="20"/>
        <v/>
      </c>
      <c r="P347" s="1">
        <f>ROUND((E347*Tidbruk!$J$1)+(G347*Tidbruk!$J$2),0)</f>
        <v>698</v>
      </c>
      <c r="Q347" s="4">
        <f t="shared" si="21"/>
        <v>12</v>
      </c>
      <c r="R347" s="1">
        <f t="shared" si="22"/>
        <v>2</v>
      </c>
      <c r="S347" s="1">
        <f t="shared" si="23"/>
        <v>7.100591715976331E-3</v>
      </c>
    </row>
    <row r="348" spans="1:19">
      <c r="A348">
        <v>15</v>
      </c>
      <c r="B348" t="s">
        <v>94</v>
      </c>
      <c r="C348">
        <v>5616</v>
      </c>
      <c r="D348" t="s">
        <v>377</v>
      </c>
      <c r="E348">
        <v>239.66</v>
      </c>
      <c r="F348">
        <v>315</v>
      </c>
      <c r="G348">
        <v>534</v>
      </c>
      <c r="H348">
        <v>977</v>
      </c>
      <c r="I348">
        <v>0.45</v>
      </c>
      <c r="J348">
        <v>334</v>
      </c>
      <c r="K348">
        <v>245</v>
      </c>
      <c r="L348">
        <v>120</v>
      </c>
      <c r="O348" s="1" t="str">
        <f t="shared" si="20"/>
        <v/>
      </c>
      <c r="P348" s="1">
        <f>ROUND((E348*Tidbruk!$J$1)+(G348*Tidbruk!$J$2),0)</f>
        <v>564</v>
      </c>
      <c r="Q348" s="4">
        <f t="shared" si="21"/>
        <v>10</v>
      </c>
      <c r="R348" s="1">
        <f t="shared" si="22"/>
        <v>2</v>
      </c>
      <c r="S348" s="1">
        <f t="shared" si="23"/>
        <v>5.9171597633136093E-3</v>
      </c>
    </row>
    <row r="349" spans="1:19">
      <c r="A349">
        <v>11</v>
      </c>
      <c r="B349" t="s">
        <v>82</v>
      </c>
      <c r="C349">
        <v>5618</v>
      </c>
      <c r="D349" t="s">
        <v>378</v>
      </c>
      <c r="E349">
        <v>466.75</v>
      </c>
      <c r="F349">
        <v>264</v>
      </c>
      <c r="G349">
        <v>1068</v>
      </c>
      <c r="H349">
        <v>1098</v>
      </c>
      <c r="I349">
        <v>0.44</v>
      </c>
      <c r="J349">
        <v>335</v>
      </c>
      <c r="K349">
        <v>425</v>
      </c>
      <c r="L349">
        <v>64</v>
      </c>
      <c r="O349" s="1" t="str">
        <f t="shared" si="20"/>
        <v/>
      </c>
      <c r="P349" s="1">
        <f>ROUND((E349*Tidbruk!$J$1)+(G349*Tidbruk!$J$2),0)</f>
        <v>1117</v>
      </c>
      <c r="Q349" s="4">
        <f t="shared" si="21"/>
        <v>19</v>
      </c>
      <c r="R349" s="1">
        <f t="shared" si="22"/>
        <v>3</v>
      </c>
      <c r="S349" s="1">
        <f t="shared" si="23"/>
        <v>1.1242603550295858E-2</v>
      </c>
    </row>
    <row r="350" spans="1:19">
      <c r="A350">
        <v>18</v>
      </c>
      <c r="B350" t="s">
        <v>73</v>
      </c>
      <c r="C350">
        <v>5620</v>
      </c>
      <c r="D350" t="s">
        <v>379</v>
      </c>
      <c r="E350">
        <v>442.81</v>
      </c>
      <c r="F350">
        <v>270</v>
      </c>
      <c r="G350">
        <v>892</v>
      </c>
      <c r="H350">
        <v>2956</v>
      </c>
      <c r="I350">
        <v>0.5</v>
      </c>
      <c r="J350">
        <v>329</v>
      </c>
      <c r="K350">
        <v>150</v>
      </c>
      <c r="L350">
        <v>166</v>
      </c>
      <c r="O350" s="1" t="str">
        <f t="shared" si="20"/>
        <v/>
      </c>
      <c r="P350" s="1">
        <f>ROUND((E350*Tidbruk!$J$1)+(G350*Tidbruk!$J$2),0)</f>
        <v>981</v>
      </c>
      <c r="Q350" s="4">
        <f t="shared" si="21"/>
        <v>17</v>
      </c>
      <c r="R350" s="1">
        <f t="shared" si="22"/>
        <v>3</v>
      </c>
      <c r="S350" s="1">
        <f t="shared" si="23"/>
        <v>1.0059171597633136E-2</v>
      </c>
    </row>
    <row r="351" spans="1:19">
      <c r="A351">
        <v>18</v>
      </c>
      <c r="B351" t="s">
        <v>73</v>
      </c>
      <c r="C351">
        <v>5622</v>
      </c>
      <c r="D351" t="s">
        <v>380</v>
      </c>
      <c r="E351">
        <v>2459.11</v>
      </c>
      <c r="F351">
        <v>18</v>
      </c>
      <c r="G351">
        <v>4641</v>
      </c>
      <c r="H351">
        <v>3896</v>
      </c>
      <c r="I351">
        <v>0.53</v>
      </c>
      <c r="J351">
        <v>323</v>
      </c>
      <c r="K351">
        <v>631</v>
      </c>
      <c r="L351">
        <v>31</v>
      </c>
      <c r="O351" s="1" t="str">
        <f t="shared" si="20"/>
        <v/>
      </c>
      <c r="P351" s="1">
        <f>ROUND((E351*Tidbruk!$J$1)+(G351*Tidbruk!$J$2),0)</f>
        <v>5243</v>
      </c>
      <c r="Q351" s="4">
        <f t="shared" si="21"/>
        <v>88</v>
      </c>
      <c r="R351" s="1">
        <f t="shared" si="22"/>
        <v>12</v>
      </c>
      <c r="S351" s="1">
        <f t="shared" si="23"/>
        <v>5.2071005917159761E-2</v>
      </c>
    </row>
    <row r="352" spans="1:19">
      <c r="A352">
        <v>11</v>
      </c>
      <c r="B352" t="s">
        <v>82</v>
      </c>
      <c r="C352">
        <v>5624</v>
      </c>
      <c r="D352" t="s">
        <v>381</v>
      </c>
      <c r="E352">
        <v>629.41999999999996</v>
      </c>
      <c r="F352">
        <v>230</v>
      </c>
      <c r="G352">
        <v>3231</v>
      </c>
      <c r="H352">
        <v>1238</v>
      </c>
      <c r="I352">
        <v>0.19</v>
      </c>
      <c r="J352">
        <v>354</v>
      </c>
      <c r="K352">
        <v>508</v>
      </c>
      <c r="L352">
        <v>48</v>
      </c>
      <c r="O352" s="1" t="str">
        <f t="shared" si="20"/>
        <v/>
      </c>
      <c r="P352" s="1">
        <f>ROUND((E352*Tidbruk!$J$1)+(G352*Tidbruk!$J$2),0)</f>
        <v>2672</v>
      </c>
      <c r="Q352" s="4">
        <f t="shared" si="21"/>
        <v>45</v>
      </c>
      <c r="R352" s="1">
        <f t="shared" si="22"/>
        <v>6</v>
      </c>
      <c r="S352" s="1">
        <f t="shared" si="23"/>
        <v>2.6627218934911243E-2</v>
      </c>
    </row>
    <row r="353" spans="1:19">
      <c r="A353">
        <v>46</v>
      </c>
      <c r="B353" t="s">
        <v>32</v>
      </c>
      <c r="C353">
        <v>5626</v>
      </c>
      <c r="D353" t="s">
        <v>382</v>
      </c>
      <c r="E353">
        <v>240.08</v>
      </c>
      <c r="F353">
        <v>314</v>
      </c>
      <c r="G353">
        <v>1355</v>
      </c>
      <c r="H353">
        <v>1051</v>
      </c>
      <c r="I353">
        <v>0.18</v>
      </c>
      <c r="J353">
        <v>355</v>
      </c>
      <c r="K353">
        <v>228</v>
      </c>
      <c r="L353">
        <v>130</v>
      </c>
      <c r="O353" s="1" t="str">
        <f t="shared" si="20"/>
        <v/>
      </c>
      <c r="P353" s="1">
        <f>ROUND((E353*Tidbruk!$J$1)+(G353*Tidbruk!$J$2),0)</f>
        <v>1099</v>
      </c>
      <c r="Q353" s="4">
        <f t="shared" si="21"/>
        <v>19</v>
      </c>
      <c r="R353" s="1">
        <f t="shared" si="22"/>
        <v>3</v>
      </c>
      <c r="S353" s="1">
        <f t="shared" si="23"/>
        <v>1.1242603550295858E-2</v>
      </c>
    </row>
    <row r="354" spans="1:19">
      <c r="A354">
        <v>18</v>
      </c>
      <c r="B354" t="s">
        <v>73</v>
      </c>
      <c r="C354">
        <v>5628</v>
      </c>
      <c r="D354" t="s">
        <v>383</v>
      </c>
      <c r="E354">
        <v>2067.9299999999998</v>
      </c>
      <c r="F354">
        <v>33</v>
      </c>
      <c r="G354">
        <v>3832</v>
      </c>
      <c r="H354">
        <v>2798</v>
      </c>
      <c r="I354">
        <v>0.54</v>
      </c>
      <c r="J354">
        <v>322</v>
      </c>
      <c r="K354">
        <v>739</v>
      </c>
      <c r="L354">
        <v>22</v>
      </c>
      <c r="O354" s="1" t="str">
        <f t="shared" si="20"/>
        <v/>
      </c>
      <c r="P354" s="1">
        <f>ROUND((E354*Tidbruk!$J$1)+(G354*Tidbruk!$J$2),0)</f>
        <v>4363</v>
      </c>
      <c r="Q354" s="4">
        <f t="shared" si="21"/>
        <v>73</v>
      </c>
      <c r="R354" s="1">
        <f t="shared" si="22"/>
        <v>10</v>
      </c>
      <c r="S354" s="1">
        <f t="shared" si="23"/>
        <v>4.319526627218935E-2</v>
      </c>
    </row>
    <row r="355" spans="1:19">
      <c r="A355">
        <v>18</v>
      </c>
      <c r="B355" t="s">
        <v>73</v>
      </c>
      <c r="C355">
        <v>5630</v>
      </c>
      <c r="D355" t="s">
        <v>384</v>
      </c>
      <c r="E355">
        <v>328.46</v>
      </c>
      <c r="F355">
        <v>294</v>
      </c>
      <c r="G355">
        <v>1083</v>
      </c>
      <c r="H355">
        <v>890</v>
      </c>
      <c r="I355">
        <v>0.3</v>
      </c>
      <c r="J355">
        <v>352</v>
      </c>
      <c r="K355">
        <v>369</v>
      </c>
      <c r="L355">
        <v>77</v>
      </c>
      <c r="O355" s="1" t="str">
        <f t="shared" si="20"/>
        <v/>
      </c>
      <c r="P355" s="1">
        <f>ROUND((E355*Tidbruk!$J$1)+(G355*Tidbruk!$J$2),0)</f>
        <v>1002</v>
      </c>
      <c r="Q355" s="4">
        <f t="shared" si="21"/>
        <v>17</v>
      </c>
      <c r="R355" s="1">
        <f t="shared" si="22"/>
        <v>3</v>
      </c>
      <c r="S355" s="1">
        <f t="shared" si="23"/>
        <v>1.0059171597633136E-2</v>
      </c>
    </row>
    <row r="356" spans="1:19">
      <c r="A356">
        <v>11</v>
      </c>
      <c r="B356" t="s">
        <v>82</v>
      </c>
      <c r="C356">
        <v>5632</v>
      </c>
      <c r="D356" t="s">
        <v>385</v>
      </c>
      <c r="E356">
        <v>228.2</v>
      </c>
      <c r="F356">
        <v>318</v>
      </c>
      <c r="G356">
        <v>1417</v>
      </c>
      <c r="H356">
        <v>2107</v>
      </c>
      <c r="I356">
        <v>0.16</v>
      </c>
      <c r="J356">
        <v>356</v>
      </c>
      <c r="K356">
        <v>108</v>
      </c>
      <c r="L356">
        <v>207</v>
      </c>
      <c r="O356" s="1" t="str">
        <f t="shared" si="20"/>
        <v/>
      </c>
      <c r="P356" s="1">
        <f>ROUND((E356*Tidbruk!$J$1)+(G356*Tidbruk!$J$2),0)</f>
        <v>1129</v>
      </c>
      <c r="Q356" s="4">
        <f t="shared" si="21"/>
        <v>19</v>
      </c>
      <c r="R356" s="1">
        <f t="shared" si="22"/>
        <v>3</v>
      </c>
      <c r="S356" s="1">
        <f t="shared" si="23"/>
        <v>1.1242603550295858E-2</v>
      </c>
    </row>
    <row r="357" spans="1:19">
      <c r="A357">
        <v>18</v>
      </c>
      <c r="B357" t="s">
        <v>73</v>
      </c>
      <c r="C357">
        <v>5634</v>
      </c>
      <c r="D357" t="s">
        <v>386</v>
      </c>
      <c r="E357">
        <v>221.56</v>
      </c>
      <c r="F357">
        <v>323</v>
      </c>
      <c r="G357">
        <v>585</v>
      </c>
      <c r="H357">
        <v>1982</v>
      </c>
      <c r="I357">
        <v>0.38</v>
      </c>
      <c r="J357">
        <v>343</v>
      </c>
      <c r="K357">
        <v>112</v>
      </c>
      <c r="L357">
        <v>202</v>
      </c>
      <c r="O357" s="1" t="str">
        <f t="shared" si="20"/>
        <v/>
      </c>
      <c r="P357" s="1">
        <f>ROUND((E357*Tidbruk!$J$1)+(G357*Tidbruk!$J$2),0)</f>
        <v>581</v>
      </c>
      <c r="Q357" s="4">
        <f t="shared" si="21"/>
        <v>10</v>
      </c>
      <c r="R357" s="1">
        <f t="shared" si="22"/>
        <v>2</v>
      </c>
      <c r="S357" s="1">
        <f t="shared" si="23"/>
        <v>5.9171597633136093E-3</v>
      </c>
    </row>
    <row r="358" spans="1:19">
      <c r="A358">
        <v>11</v>
      </c>
      <c r="B358" t="s">
        <v>82</v>
      </c>
      <c r="C358">
        <v>5636</v>
      </c>
      <c r="D358" t="s">
        <v>387</v>
      </c>
      <c r="E358">
        <v>1030.1600000000001</v>
      </c>
      <c r="F358">
        <v>141</v>
      </c>
      <c r="G358">
        <v>1363</v>
      </c>
      <c r="H358">
        <v>868</v>
      </c>
      <c r="I358">
        <v>0.76</v>
      </c>
      <c r="J358">
        <v>290</v>
      </c>
      <c r="K358">
        <v>1187</v>
      </c>
      <c r="L358">
        <v>6</v>
      </c>
      <c r="O358" s="1" t="str">
        <f t="shared" si="20"/>
        <v/>
      </c>
      <c r="P358" s="1">
        <f>ROUND((E358*Tidbruk!$J$1)+(G358*Tidbruk!$J$2),0)</f>
        <v>1818</v>
      </c>
      <c r="Q358" s="4">
        <f t="shared" si="21"/>
        <v>31</v>
      </c>
      <c r="R358" s="1">
        <f t="shared" si="22"/>
        <v>5</v>
      </c>
      <c r="S358" s="1">
        <f t="shared" si="23"/>
        <v>1.8343195266272188E-2</v>
      </c>
    </row>
    <row r="360" spans="1:19">
      <c r="P360" s="1" t="s">
        <v>388</v>
      </c>
      <c r="Q360" s="4">
        <f>AVERAGE(Q2:Q358)</f>
        <v>24.568627450980394</v>
      </c>
    </row>
  </sheetData>
  <autoFilter ref="C1:L358" xr:uid="{9E802082-7B26-4F2B-8CCD-2AFBC747CB1F}">
    <sortState xmlns:xlrd2="http://schemas.microsoft.com/office/spreadsheetml/2017/richdata2" ref="C2:L358">
      <sortCondition ref="C1:C358"/>
    </sortState>
  </autoFilter>
  <sortState xmlns:xlrd2="http://schemas.microsoft.com/office/spreadsheetml/2017/richdata2" ref="C2:L358">
    <sortCondition ref="C1:C358"/>
  </sortState>
  <pageMargins left="0.25" right="0.25" top="0.75" bottom="0.75" header="0.3" footer="0.3"/>
  <pageSetup paperSize="8" scale="43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F60F-800C-40F6-9615-4D23D3AB23E4}">
  <dimension ref="A1:J59"/>
  <sheetViews>
    <sheetView zoomScale="85" zoomScaleNormal="85" workbookViewId="0">
      <selection activeCell="C12" sqref="C12"/>
    </sheetView>
  </sheetViews>
  <sheetFormatPr defaultColWidth="38.7109375" defaultRowHeight="15"/>
  <cols>
    <col min="1" max="1" width="14.85546875" bestFit="1" customWidth="1"/>
    <col min="2" max="2" width="8.5703125" bestFit="1" customWidth="1"/>
    <col min="3" max="3" width="4.42578125" bestFit="1" customWidth="1"/>
    <col min="4" max="4" width="18.7109375" bestFit="1" customWidth="1"/>
    <col min="5" max="5" width="18.7109375" customWidth="1"/>
    <col min="6" max="6" width="11.5703125" bestFit="1" customWidth="1"/>
    <col min="7" max="7" width="11.5703125" customWidth="1"/>
    <col min="8" max="8" width="8.7109375" bestFit="1" customWidth="1"/>
    <col min="9" max="9" width="69.5703125" bestFit="1" customWidth="1"/>
  </cols>
  <sheetData>
    <row r="1" spans="1:10" ht="30">
      <c r="A1" s="2" t="s">
        <v>389</v>
      </c>
      <c r="B1" s="2" t="s">
        <v>390</v>
      </c>
      <c r="C1" s="2" t="s">
        <v>391</v>
      </c>
      <c r="D1" s="2" t="s">
        <v>392</v>
      </c>
      <c r="E1" s="2" t="s">
        <v>393</v>
      </c>
      <c r="F1" s="2" t="s">
        <v>394</v>
      </c>
      <c r="G1" s="2" t="s">
        <v>395</v>
      </c>
      <c r="H1" s="2" t="s">
        <v>396</v>
      </c>
      <c r="I1" s="3" t="s">
        <v>397</v>
      </c>
      <c r="J1" s="3">
        <f>AVERAGE(F:F)</f>
        <v>0.90347467316848129</v>
      </c>
    </row>
    <row r="2" spans="1:10" ht="28.5">
      <c r="A2" s="2" t="s">
        <v>398</v>
      </c>
      <c r="B2" s="2" t="s">
        <v>399</v>
      </c>
      <c r="C2" s="2">
        <v>18</v>
      </c>
      <c r="D2" s="2">
        <v>14909.180412354201</v>
      </c>
      <c r="E2" s="2">
        <f>D2/1000</f>
        <v>14.9091804123542</v>
      </c>
      <c r="F2" s="2">
        <f t="shared" ref="F2:F48" si="0">C2/E2</f>
        <v>1.2073098253667018</v>
      </c>
      <c r="G2" s="2">
        <f>C2/7.68</f>
        <v>2.34375</v>
      </c>
      <c r="H2" t="s">
        <v>400</v>
      </c>
      <c r="I2" s="3" t="s">
        <v>401</v>
      </c>
      <c r="J2" s="3">
        <f>5/7.68</f>
        <v>0.65104166666666674</v>
      </c>
    </row>
    <row r="3" spans="1:10" ht="28.5">
      <c r="A3" s="2" t="s">
        <v>402</v>
      </c>
      <c r="B3" s="2" t="s">
        <v>399</v>
      </c>
      <c r="C3" s="2">
        <v>17</v>
      </c>
      <c r="D3" s="2">
        <v>19009.6857681726</v>
      </c>
      <c r="E3" s="2">
        <f t="shared" ref="E3:E59" si="1">D3/1000</f>
        <v>19.009685768172599</v>
      </c>
      <c r="F3" s="2">
        <f t="shared" si="0"/>
        <v>0.89428095799787699</v>
      </c>
      <c r="G3" s="2">
        <f t="shared" ref="G3:G59" si="2">C3/7.68</f>
        <v>2.213541666666667</v>
      </c>
      <c r="H3" t="s">
        <v>400</v>
      </c>
      <c r="I3" s="3"/>
      <c r="J3" s="3"/>
    </row>
    <row r="4" spans="1:10">
      <c r="A4" s="2" t="s">
        <v>403</v>
      </c>
      <c r="B4" s="2" t="s">
        <v>399</v>
      </c>
      <c r="C4" s="2">
        <v>19</v>
      </c>
      <c r="D4" s="2">
        <v>14666.2894769947</v>
      </c>
      <c r="E4" s="2">
        <f t="shared" si="1"/>
        <v>14.666289476994701</v>
      </c>
      <c r="F4" s="2">
        <f t="shared" si="0"/>
        <v>1.295487862134665</v>
      </c>
      <c r="G4" s="2">
        <f t="shared" si="2"/>
        <v>2.4739583333333335</v>
      </c>
      <c r="H4" t="s">
        <v>400</v>
      </c>
    </row>
    <row r="5" spans="1:10">
      <c r="A5" s="2" t="s">
        <v>404</v>
      </c>
      <c r="B5" s="2" t="s">
        <v>399</v>
      </c>
      <c r="C5" s="2">
        <v>11</v>
      </c>
      <c r="D5" s="2">
        <v>23209.328925788399</v>
      </c>
      <c r="E5" s="2">
        <f t="shared" si="1"/>
        <v>23.209328925788398</v>
      </c>
      <c r="F5" s="2">
        <f t="shared" si="0"/>
        <v>0.47394735259999943</v>
      </c>
      <c r="G5" s="2">
        <f t="shared" si="2"/>
        <v>1.4322916666666667</v>
      </c>
      <c r="H5" t="s">
        <v>400</v>
      </c>
    </row>
    <row r="6" spans="1:10">
      <c r="A6" s="2" t="s">
        <v>405</v>
      </c>
      <c r="B6" s="2" t="s">
        <v>399</v>
      </c>
      <c r="C6" s="2">
        <v>4</v>
      </c>
      <c r="D6" s="2">
        <v>17531.7813112322</v>
      </c>
      <c r="E6" s="2">
        <f t="shared" si="1"/>
        <v>17.531781311232201</v>
      </c>
      <c r="F6" s="2">
        <f t="shared" si="0"/>
        <v>0.2281570782221253</v>
      </c>
      <c r="G6" s="2">
        <f t="shared" si="2"/>
        <v>0.52083333333333337</v>
      </c>
      <c r="H6" t="s">
        <v>400</v>
      </c>
    </row>
    <row r="7" spans="1:10">
      <c r="A7" s="2" t="s">
        <v>406</v>
      </c>
      <c r="B7" s="2" t="s">
        <v>399</v>
      </c>
      <c r="C7" s="2">
        <v>2</v>
      </c>
      <c r="D7" s="2">
        <v>6674.1017915951898</v>
      </c>
      <c r="E7" s="2">
        <f t="shared" si="1"/>
        <v>6.6741017915951897</v>
      </c>
      <c r="F7" s="2">
        <f t="shared" si="0"/>
        <v>0.2996657921098288</v>
      </c>
      <c r="G7" s="2">
        <f t="shared" si="2"/>
        <v>0.26041666666666669</v>
      </c>
      <c r="H7" t="s">
        <v>400</v>
      </c>
    </row>
    <row r="8" spans="1:10">
      <c r="A8" s="2" t="s">
        <v>407</v>
      </c>
      <c r="B8" s="2" t="s">
        <v>399</v>
      </c>
      <c r="C8" s="2">
        <v>8</v>
      </c>
      <c r="D8" s="2">
        <v>14996.556300668801</v>
      </c>
      <c r="E8" s="2">
        <f t="shared" si="1"/>
        <v>14.9965563006688</v>
      </c>
      <c r="F8" s="2">
        <f t="shared" si="0"/>
        <v>0.53345580409305204</v>
      </c>
      <c r="G8" s="2">
        <f t="shared" si="2"/>
        <v>1.0416666666666667</v>
      </c>
      <c r="H8" t="s">
        <v>400</v>
      </c>
    </row>
    <row r="9" spans="1:10">
      <c r="A9" s="2" t="s">
        <v>408</v>
      </c>
      <c r="B9" s="2" t="s">
        <v>399</v>
      </c>
      <c r="C9" s="2">
        <v>24</v>
      </c>
      <c r="D9" s="2">
        <v>20516.8091879678</v>
      </c>
      <c r="E9" s="2">
        <f t="shared" si="1"/>
        <v>20.516809187967798</v>
      </c>
      <c r="F9" s="2">
        <f t="shared" si="0"/>
        <v>1.169772540170376</v>
      </c>
      <c r="G9" s="2">
        <f t="shared" si="2"/>
        <v>3.125</v>
      </c>
      <c r="H9" t="s">
        <v>400</v>
      </c>
    </row>
    <row r="10" spans="1:10">
      <c r="A10" s="2" t="s">
        <v>409</v>
      </c>
      <c r="B10" s="2" t="s">
        <v>399</v>
      </c>
      <c r="C10" s="2">
        <v>24</v>
      </c>
      <c r="D10" s="2">
        <v>17846.360433453301</v>
      </c>
      <c r="E10" s="2">
        <f t="shared" si="1"/>
        <v>17.846360433453302</v>
      </c>
      <c r="F10" s="2">
        <f t="shared" si="0"/>
        <v>1.3448120186461996</v>
      </c>
      <c r="G10" s="2">
        <f t="shared" si="2"/>
        <v>3.125</v>
      </c>
      <c r="H10" t="s">
        <v>400</v>
      </c>
    </row>
    <row r="11" spans="1:10">
      <c r="A11" s="2" t="s">
        <v>410</v>
      </c>
      <c r="B11" s="2" t="s">
        <v>399</v>
      </c>
      <c r="C11" s="2">
        <v>22</v>
      </c>
      <c r="D11" s="2">
        <v>23369.917509025101</v>
      </c>
      <c r="E11" s="2">
        <f t="shared" si="1"/>
        <v>23.3699175090251</v>
      </c>
      <c r="F11" s="2">
        <f t="shared" si="0"/>
        <v>0.94138115770001929</v>
      </c>
      <c r="G11" s="2">
        <f t="shared" si="2"/>
        <v>2.8645833333333335</v>
      </c>
      <c r="H11" t="s">
        <v>400</v>
      </c>
    </row>
    <row r="12" spans="1:10">
      <c r="A12" s="2" t="s">
        <v>411</v>
      </c>
      <c r="B12" s="2" t="s">
        <v>399</v>
      </c>
      <c r="C12" s="2">
        <v>19</v>
      </c>
      <c r="D12" s="2">
        <v>19486.986937087</v>
      </c>
      <c r="E12" s="2">
        <f t="shared" si="1"/>
        <v>19.486986937087</v>
      </c>
      <c r="F12" s="2">
        <f t="shared" si="0"/>
        <v>0.97500963393370055</v>
      </c>
      <c r="G12" s="2">
        <f t="shared" si="2"/>
        <v>2.4739583333333335</v>
      </c>
      <c r="H12" t="s">
        <v>400</v>
      </c>
    </row>
    <row r="13" spans="1:10">
      <c r="A13" s="2" t="s">
        <v>412</v>
      </c>
      <c r="B13" s="2" t="s">
        <v>399</v>
      </c>
      <c r="C13" s="2">
        <v>20</v>
      </c>
      <c r="D13" s="2">
        <v>9009.0549466837492</v>
      </c>
      <c r="E13" s="2">
        <f t="shared" si="1"/>
        <v>9.0090549466837491</v>
      </c>
      <c r="F13" s="2">
        <f t="shared" si="0"/>
        <v>2.2199886800959119</v>
      </c>
      <c r="G13" s="2">
        <f t="shared" si="2"/>
        <v>2.604166666666667</v>
      </c>
      <c r="H13" t="s">
        <v>400</v>
      </c>
    </row>
    <row r="14" spans="1:10">
      <c r="A14" s="2" t="s">
        <v>413</v>
      </c>
      <c r="B14" s="2" t="s">
        <v>399</v>
      </c>
      <c r="C14" s="2">
        <v>25</v>
      </c>
      <c r="D14" s="2">
        <v>7260.2321449734</v>
      </c>
      <c r="E14" s="2">
        <f t="shared" si="1"/>
        <v>7.2602321449733997</v>
      </c>
      <c r="F14" s="2">
        <f t="shared" si="0"/>
        <v>3.4434160644999041</v>
      </c>
      <c r="G14" s="2">
        <f t="shared" si="2"/>
        <v>3.2552083333333335</v>
      </c>
      <c r="H14" t="s">
        <v>400</v>
      </c>
    </row>
    <row r="15" spans="1:10">
      <c r="A15" s="2" t="s">
        <v>414</v>
      </c>
      <c r="B15" s="2" t="s">
        <v>399</v>
      </c>
      <c r="C15" s="2">
        <v>3</v>
      </c>
      <c r="D15" s="2">
        <v>4271.2776911637402</v>
      </c>
      <c r="E15" s="2">
        <f t="shared" si="1"/>
        <v>4.27127769116374</v>
      </c>
      <c r="F15" s="2">
        <f t="shared" si="0"/>
        <v>0.70236594689366327</v>
      </c>
      <c r="G15" s="2">
        <f t="shared" si="2"/>
        <v>0.390625</v>
      </c>
      <c r="H15" t="s">
        <v>400</v>
      </c>
    </row>
    <row r="16" spans="1:10">
      <c r="A16" s="2" t="s">
        <v>415</v>
      </c>
      <c r="B16" s="2" t="s">
        <v>399</v>
      </c>
      <c r="C16" s="2">
        <v>5</v>
      </c>
      <c r="D16" s="2">
        <v>4022.3257293961501</v>
      </c>
      <c r="E16" s="2">
        <f t="shared" si="1"/>
        <v>4.0223257293961501</v>
      </c>
      <c r="F16" s="2">
        <f t="shared" si="0"/>
        <v>1.2430619339102165</v>
      </c>
      <c r="G16" s="2">
        <f t="shared" si="2"/>
        <v>0.65104166666666674</v>
      </c>
      <c r="H16" t="s">
        <v>400</v>
      </c>
    </row>
    <row r="17" spans="1:8">
      <c r="A17" s="2" t="s">
        <v>416</v>
      </c>
      <c r="B17" s="2" t="s">
        <v>399</v>
      </c>
      <c r="C17" s="2">
        <v>20</v>
      </c>
      <c r="D17" s="2">
        <v>17052.8990461664</v>
      </c>
      <c r="E17" s="2">
        <f t="shared" si="1"/>
        <v>17.052899046166399</v>
      </c>
      <c r="F17" s="2">
        <f t="shared" si="0"/>
        <v>1.1728211107011819</v>
      </c>
      <c r="G17" s="2">
        <f t="shared" si="2"/>
        <v>2.604166666666667</v>
      </c>
      <c r="H17" t="s">
        <v>400</v>
      </c>
    </row>
    <row r="18" spans="1:8">
      <c r="A18" s="2" t="s">
        <v>417</v>
      </c>
      <c r="B18" s="2" t="s">
        <v>399</v>
      </c>
      <c r="C18" s="2">
        <v>21</v>
      </c>
      <c r="D18" s="2">
        <v>18948.6452855323</v>
      </c>
      <c r="E18" s="2">
        <f t="shared" si="1"/>
        <v>18.948645285532301</v>
      </c>
      <c r="F18" s="2">
        <f t="shared" si="0"/>
        <v>1.1082586477057519</v>
      </c>
      <c r="G18" s="2">
        <f t="shared" si="2"/>
        <v>2.734375</v>
      </c>
      <c r="H18" t="s">
        <v>400</v>
      </c>
    </row>
    <row r="19" spans="1:8">
      <c r="A19" s="2" t="s">
        <v>418</v>
      </c>
      <c r="B19" s="2" t="s">
        <v>399</v>
      </c>
      <c r="C19" s="2">
        <v>8</v>
      </c>
      <c r="D19" s="2">
        <v>7211.8276881371703</v>
      </c>
      <c r="E19" s="2">
        <f t="shared" si="1"/>
        <v>7.2118276881371699</v>
      </c>
      <c r="F19" s="2">
        <f t="shared" si="0"/>
        <v>1.1092888440969417</v>
      </c>
      <c r="G19" s="2">
        <f t="shared" si="2"/>
        <v>1.0416666666666667</v>
      </c>
      <c r="H19" t="s">
        <v>400</v>
      </c>
    </row>
    <row r="20" spans="1:8">
      <c r="A20" s="2" t="s">
        <v>419</v>
      </c>
      <c r="B20" s="2" t="s">
        <v>399</v>
      </c>
      <c r="C20" s="2">
        <v>25</v>
      </c>
      <c r="D20" s="2">
        <v>18791.115424625601</v>
      </c>
      <c r="E20" s="2">
        <f t="shared" si="1"/>
        <v>18.791115424625602</v>
      </c>
      <c r="F20" s="2">
        <f t="shared" si="0"/>
        <v>1.3304159670712099</v>
      </c>
      <c r="G20" s="2">
        <f t="shared" si="2"/>
        <v>3.2552083333333335</v>
      </c>
      <c r="H20" t="s">
        <v>400</v>
      </c>
    </row>
    <row r="21" spans="1:8">
      <c r="A21" s="2" t="s">
        <v>420</v>
      </c>
      <c r="B21" s="2" t="s">
        <v>399</v>
      </c>
      <c r="C21" s="2">
        <v>1</v>
      </c>
      <c r="D21" s="2">
        <v>9972.8426879150793</v>
      </c>
      <c r="E21" s="2">
        <f t="shared" si="1"/>
        <v>9.9728426879150796</v>
      </c>
      <c r="F21" s="2">
        <f t="shared" si="0"/>
        <v>0.10027231264880804</v>
      </c>
      <c r="G21" s="2">
        <f t="shared" si="2"/>
        <v>0.13020833333333334</v>
      </c>
      <c r="H21" t="s">
        <v>400</v>
      </c>
    </row>
    <row r="22" spans="1:8">
      <c r="A22" s="2" t="s">
        <v>421</v>
      </c>
      <c r="B22" s="2" t="s">
        <v>399</v>
      </c>
      <c r="C22" s="2">
        <v>1</v>
      </c>
      <c r="D22" s="2">
        <v>1233.3561153650501</v>
      </c>
      <c r="E22" s="2">
        <f t="shared" si="1"/>
        <v>1.2333561153650501</v>
      </c>
      <c r="F22" s="2">
        <f t="shared" si="0"/>
        <v>0.81079583385697074</v>
      </c>
      <c r="G22" s="2">
        <f t="shared" si="2"/>
        <v>0.13020833333333334</v>
      </c>
      <c r="H22" t="s">
        <v>400</v>
      </c>
    </row>
    <row r="23" spans="1:8">
      <c r="A23" s="2" t="s">
        <v>422</v>
      </c>
      <c r="B23" s="2" t="s">
        <v>399</v>
      </c>
      <c r="C23" s="2">
        <v>1</v>
      </c>
      <c r="D23" s="2">
        <v>2131.1140854108999</v>
      </c>
      <c r="E23" s="2">
        <f t="shared" si="1"/>
        <v>2.1311140854108999</v>
      </c>
      <c r="F23" s="2">
        <f t="shared" si="0"/>
        <v>0.46923813551126248</v>
      </c>
      <c r="G23" s="2">
        <f t="shared" si="2"/>
        <v>0.13020833333333334</v>
      </c>
      <c r="H23" t="s">
        <v>400</v>
      </c>
    </row>
    <row r="24" spans="1:8">
      <c r="A24" s="2" t="s">
        <v>423</v>
      </c>
      <c r="B24" s="2" t="s">
        <v>399</v>
      </c>
      <c r="C24" s="2">
        <v>1</v>
      </c>
      <c r="D24" s="2">
        <v>689.59606137651804</v>
      </c>
      <c r="E24" s="2">
        <f t="shared" si="1"/>
        <v>0.68959606137651808</v>
      </c>
      <c r="F24" s="2">
        <f t="shared" si="0"/>
        <v>1.4501242916090293</v>
      </c>
      <c r="G24" s="2">
        <f t="shared" si="2"/>
        <v>0.13020833333333334</v>
      </c>
      <c r="H24" t="s">
        <v>400</v>
      </c>
    </row>
    <row r="25" spans="1:8">
      <c r="A25" s="2" t="s">
        <v>424</v>
      </c>
      <c r="B25" s="2" t="s">
        <v>399</v>
      </c>
      <c r="C25" s="2">
        <v>1</v>
      </c>
      <c r="D25" s="2">
        <v>3246.10552373259</v>
      </c>
      <c r="E25" s="2">
        <f t="shared" si="1"/>
        <v>3.2461055237325898</v>
      </c>
      <c r="F25" s="2">
        <f t="shared" si="0"/>
        <v>0.30806145785739369</v>
      </c>
      <c r="G25" s="2">
        <f t="shared" si="2"/>
        <v>0.13020833333333334</v>
      </c>
      <c r="H25" t="s">
        <v>400</v>
      </c>
    </row>
    <row r="26" spans="1:8">
      <c r="A26" s="2" t="s">
        <v>425</v>
      </c>
      <c r="B26" s="2" t="s">
        <v>399</v>
      </c>
      <c r="C26" s="2">
        <v>2</v>
      </c>
      <c r="D26" s="2">
        <v>2792.6875251769202</v>
      </c>
      <c r="E26" s="2">
        <f t="shared" si="1"/>
        <v>2.7926875251769201</v>
      </c>
      <c r="F26" s="2">
        <f t="shared" si="0"/>
        <v>0.71615602603921735</v>
      </c>
      <c r="G26" s="2">
        <f t="shared" si="2"/>
        <v>0.26041666666666669</v>
      </c>
      <c r="H26" t="s">
        <v>400</v>
      </c>
    </row>
    <row r="27" spans="1:8">
      <c r="A27" s="2" t="s">
        <v>426</v>
      </c>
      <c r="B27" s="2" t="s">
        <v>399</v>
      </c>
      <c r="C27" s="2">
        <v>6</v>
      </c>
      <c r="D27" s="2">
        <v>6359.2471320261302</v>
      </c>
      <c r="E27" s="2">
        <f t="shared" si="1"/>
        <v>6.3592471320261303</v>
      </c>
      <c r="F27" s="2">
        <f t="shared" si="0"/>
        <v>0.94350791460566019</v>
      </c>
      <c r="G27" s="2">
        <f t="shared" si="2"/>
        <v>0.78125</v>
      </c>
      <c r="H27" t="s">
        <v>400</v>
      </c>
    </row>
    <row r="28" spans="1:8">
      <c r="A28" s="2" t="s">
        <v>427</v>
      </c>
      <c r="B28" s="2" t="s">
        <v>399</v>
      </c>
      <c r="C28" s="2">
        <v>4</v>
      </c>
      <c r="D28" s="2">
        <v>11191.2711303627</v>
      </c>
      <c r="E28" s="2">
        <f t="shared" si="1"/>
        <v>11.191271130362701</v>
      </c>
      <c r="F28" s="2">
        <f t="shared" si="0"/>
        <v>0.35742141830052893</v>
      </c>
      <c r="G28" s="2">
        <f t="shared" si="2"/>
        <v>0.52083333333333337</v>
      </c>
      <c r="H28" t="s">
        <v>400</v>
      </c>
    </row>
    <row r="29" spans="1:8">
      <c r="A29" s="2" t="s">
        <v>428</v>
      </c>
      <c r="B29" s="2" t="s">
        <v>399</v>
      </c>
      <c r="C29" s="2">
        <v>8</v>
      </c>
      <c r="D29" s="2">
        <v>12687.1797153466</v>
      </c>
      <c r="E29" s="2">
        <f t="shared" si="1"/>
        <v>12.6871797153466</v>
      </c>
      <c r="F29" s="2">
        <f t="shared" si="0"/>
        <v>0.63055778979177557</v>
      </c>
      <c r="G29" s="2">
        <f t="shared" si="2"/>
        <v>1.0416666666666667</v>
      </c>
      <c r="H29" t="s">
        <v>400</v>
      </c>
    </row>
    <row r="30" spans="1:8">
      <c r="A30" s="2" t="s">
        <v>429</v>
      </c>
      <c r="B30" s="2" t="s">
        <v>399</v>
      </c>
      <c r="C30" s="2">
        <v>16</v>
      </c>
      <c r="D30" s="2">
        <v>12133.2018198771</v>
      </c>
      <c r="E30" s="2">
        <f t="shared" si="1"/>
        <v>12.133201819877101</v>
      </c>
      <c r="F30" s="2">
        <f t="shared" si="0"/>
        <v>1.3186956120509059</v>
      </c>
      <c r="G30" s="2">
        <f t="shared" si="2"/>
        <v>2.0833333333333335</v>
      </c>
      <c r="H30" t="s">
        <v>400</v>
      </c>
    </row>
    <row r="31" spans="1:8">
      <c r="A31" s="2" t="s">
        <v>430</v>
      </c>
      <c r="B31" s="2" t="s">
        <v>399</v>
      </c>
      <c r="C31" s="2">
        <v>9</v>
      </c>
      <c r="D31" s="2">
        <v>10598.392818911299</v>
      </c>
      <c r="E31" s="2">
        <f t="shared" si="1"/>
        <v>10.5983928189113</v>
      </c>
      <c r="F31" s="2">
        <f t="shared" si="0"/>
        <v>0.84918535798567507</v>
      </c>
      <c r="G31" s="2">
        <f t="shared" si="2"/>
        <v>1.171875</v>
      </c>
      <c r="H31" t="s">
        <v>400</v>
      </c>
    </row>
    <row r="32" spans="1:8">
      <c r="A32" s="2" t="s">
        <v>431</v>
      </c>
      <c r="B32" s="2" t="s">
        <v>399</v>
      </c>
      <c r="C32" s="2">
        <v>1</v>
      </c>
      <c r="D32" s="2">
        <v>3367.9331567731201</v>
      </c>
      <c r="E32" s="2">
        <f t="shared" si="1"/>
        <v>3.3679331567731201</v>
      </c>
      <c r="F32" s="2">
        <f t="shared" si="0"/>
        <v>0.29691800681641756</v>
      </c>
      <c r="G32" s="2">
        <f t="shared" si="2"/>
        <v>0.13020833333333334</v>
      </c>
      <c r="H32" t="s">
        <v>400</v>
      </c>
    </row>
    <row r="33" spans="1:8">
      <c r="A33" s="2" t="s">
        <v>432</v>
      </c>
      <c r="B33" s="2" t="s">
        <v>399</v>
      </c>
      <c r="C33" s="2">
        <v>6</v>
      </c>
      <c r="D33" s="2">
        <v>12435.9768986412</v>
      </c>
      <c r="E33" s="2">
        <f t="shared" si="1"/>
        <v>12.435976898641201</v>
      </c>
      <c r="F33" s="2">
        <f t="shared" si="0"/>
        <v>0.48247114391597024</v>
      </c>
      <c r="G33" s="2">
        <f t="shared" si="2"/>
        <v>0.78125</v>
      </c>
      <c r="H33" t="s">
        <v>400</v>
      </c>
    </row>
    <row r="34" spans="1:8">
      <c r="A34" s="2" t="s">
        <v>433</v>
      </c>
      <c r="B34" s="2" t="s">
        <v>399</v>
      </c>
      <c r="C34" s="2">
        <v>1</v>
      </c>
      <c r="D34" s="2">
        <v>7600.0564919438502</v>
      </c>
      <c r="E34" s="2">
        <f t="shared" si="1"/>
        <v>7.6000564919438505</v>
      </c>
      <c r="F34" s="2">
        <f t="shared" si="0"/>
        <v>0.13157796932957166</v>
      </c>
      <c r="G34" s="2">
        <f t="shared" si="2"/>
        <v>0.13020833333333334</v>
      </c>
      <c r="H34" t="s">
        <v>400</v>
      </c>
    </row>
    <row r="35" spans="1:8">
      <c r="A35" s="2" t="s">
        <v>434</v>
      </c>
      <c r="B35" s="2" t="s">
        <v>399</v>
      </c>
      <c r="C35" s="2">
        <v>6</v>
      </c>
      <c r="D35" s="2">
        <v>11993.9026337946</v>
      </c>
      <c r="E35" s="2">
        <f t="shared" si="1"/>
        <v>11.993902633794599</v>
      </c>
      <c r="F35" s="2">
        <f t="shared" si="0"/>
        <v>0.50025418608069327</v>
      </c>
      <c r="G35" s="2">
        <f t="shared" si="2"/>
        <v>0.78125</v>
      </c>
      <c r="H35" t="s">
        <v>400</v>
      </c>
    </row>
    <row r="36" spans="1:8">
      <c r="A36" s="2" t="s">
        <v>435</v>
      </c>
      <c r="B36" s="2" t="s">
        <v>399</v>
      </c>
      <c r="C36" s="2">
        <v>10</v>
      </c>
      <c r="D36" s="2">
        <v>13072.012382471299</v>
      </c>
      <c r="E36" s="2">
        <f t="shared" si="1"/>
        <v>13.0720123824713</v>
      </c>
      <c r="F36" s="2">
        <f t="shared" si="0"/>
        <v>0.76499315540806367</v>
      </c>
      <c r="G36" s="2">
        <f t="shared" si="2"/>
        <v>1.3020833333333335</v>
      </c>
      <c r="H36" t="s">
        <v>400</v>
      </c>
    </row>
    <row r="37" spans="1:8">
      <c r="A37" s="2" t="s">
        <v>436</v>
      </c>
      <c r="B37" s="2" t="s">
        <v>399</v>
      </c>
      <c r="C37" s="2">
        <v>7</v>
      </c>
      <c r="D37" s="2">
        <v>9239.2661757087499</v>
      </c>
      <c r="E37" s="2">
        <f t="shared" si="1"/>
        <v>9.2392661757087495</v>
      </c>
      <c r="F37" s="2">
        <f t="shared" si="0"/>
        <v>0.75763592766749421</v>
      </c>
      <c r="G37" s="2">
        <f t="shared" si="2"/>
        <v>0.91145833333333337</v>
      </c>
      <c r="H37" t="s">
        <v>400</v>
      </c>
    </row>
    <row r="38" spans="1:8">
      <c r="A38" s="2" t="s">
        <v>437</v>
      </c>
      <c r="B38" s="2" t="s">
        <v>399</v>
      </c>
      <c r="C38" s="2">
        <v>10</v>
      </c>
      <c r="D38" s="2">
        <v>19140.120062695401</v>
      </c>
      <c r="E38" s="2">
        <f t="shared" si="1"/>
        <v>19.140120062695402</v>
      </c>
      <c r="F38" s="2">
        <f t="shared" si="0"/>
        <v>0.52246276236742439</v>
      </c>
      <c r="G38" s="2">
        <f t="shared" si="2"/>
        <v>1.3020833333333335</v>
      </c>
      <c r="H38" t="s">
        <v>400</v>
      </c>
    </row>
    <row r="39" spans="1:8">
      <c r="A39" s="2" t="s">
        <v>438</v>
      </c>
      <c r="B39" s="2" t="s">
        <v>399</v>
      </c>
      <c r="C39" s="2">
        <v>7</v>
      </c>
      <c r="D39" s="2">
        <v>18016.031815917398</v>
      </c>
      <c r="E39" s="2">
        <f t="shared" si="1"/>
        <v>18.016031815917398</v>
      </c>
      <c r="F39" s="2">
        <f t="shared" si="0"/>
        <v>0.38854283071455331</v>
      </c>
      <c r="G39" s="2">
        <f t="shared" si="2"/>
        <v>0.91145833333333337</v>
      </c>
      <c r="H39" t="s">
        <v>400</v>
      </c>
    </row>
    <row r="40" spans="1:8">
      <c r="A40" s="2" t="s">
        <v>439</v>
      </c>
      <c r="B40" s="2" t="s">
        <v>399</v>
      </c>
      <c r="C40" s="2">
        <v>7</v>
      </c>
      <c r="D40" s="2">
        <v>12759.4304821081</v>
      </c>
      <c r="E40" s="2">
        <f t="shared" si="1"/>
        <v>12.759430482108101</v>
      </c>
      <c r="F40" s="2">
        <f t="shared" si="0"/>
        <v>0.54861382800868297</v>
      </c>
      <c r="G40" s="2">
        <f t="shared" si="2"/>
        <v>0.91145833333333337</v>
      </c>
      <c r="H40" t="s">
        <v>400</v>
      </c>
    </row>
    <row r="41" spans="1:8">
      <c r="A41" s="2" t="s">
        <v>440</v>
      </c>
      <c r="B41" s="2" t="s">
        <v>399</v>
      </c>
      <c r="C41" s="2">
        <v>18</v>
      </c>
      <c r="D41" s="2">
        <v>22720.715415823801</v>
      </c>
      <c r="E41" s="2">
        <f t="shared" si="1"/>
        <v>22.7207154158238</v>
      </c>
      <c r="F41" s="2">
        <f t="shared" si="0"/>
        <v>0.7922285751382605</v>
      </c>
      <c r="G41" s="2">
        <f t="shared" si="2"/>
        <v>2.34375</v>
      </c>
      <c r="H41" t="s">
        <v>400</v>
      </c>
    </row>
    <row r="42" spans="1:8">
      <c r="A42" s="2" t="s">
        <v>441</v>
      </c>
      <c r="B42" s="2" t="s">
        <v>399</v>
      </c>
      <c r="C42" s="2">
        <v>21</v>
      </c>
      <c r="D42" s="2">
        <v>24963.399262396</v>
      </c>
      <c r="E42" s="2">
        <f t="shared" si="1"/>
        <v>24.963399262395999</v>
      </c>
      <c r="F42" s="2">
        <f t="shared" si="0"/>
        <v>0.84123158786446495</v>
      </c>
      <c r="G42" s="2">
        <f t="shared" si="2"/>
        <v>2.734375</v>
      </c>
      <c r="H42" t="s">
        <v>400</v>
      </c>
    </row>
    <row r="43" spans="1:8">
      <c r="A43" s="2" t="s">
        <v>442</v>
      </c>
      <c r="B43" s="2" t="s">
        <v>399</v>
      </c>
      <c r="C43" s="2">
        <v>10</v>
      </c>
      <c r="D43" s="2">
        <v>17965.2458765919</v>
      </c>
      <c r="E43" s="2">
        <f t="shared" si="1"/>
        <v>17.965245876591901</v>
      </c>
      <c r="F43" s="2">
        <f t="shared" si="0"/>
        <v>0.55663028876379905</v>
      </c>
      <c r="G43" s="2">
        <f t="shared" si="2"/>
        <v>1.3020833333333335</v>
      </c>
      <c r="H43" t="s">
        <v>400</v>
      </c>
    </row>
    <row r="44" spans="1:8">
      <c r="A44" s="2" t="s">
        <v>443</v>
      </c>
      <c r="B44" s="2" t="s">
        <v>399</v>
      </c>
      <c r="C44" s="2">
        <v>25</v>
      </c>
      <c r="D44" s="2">
        <v>26524.079809677802</v>
      </c>
      <c r="E44" s="2">
        <f t="shared" si="1"/>
        <v>26.524079809677801</v>
      </c>
      <c r="F44" s="2">
        <f t="shared" si="0"/>
        <v>0.94253976686038654</v>
      </c>
      <c r="G44" s="2">
        <f t="shared" si="2"/>
        <v>3.2552083333333335</v>
      </c>
      <c r="H44" t="s">
        <v>400</v>
      </c>
    </row>
    <row r="45" spans="1:8">
      <c r="A45" s="2" t="s">
        <v>444</v>
      </c>
      <c r="B45" s="2" t="s">
        <v>399</v>
      </c>
      <c r="C45" s="2">
        <v>18</v>
      </c>
      <c r="D45" s="2">
        <v>14992.341428580699</v>
      </c>
      <c r="E45" s="2">
        <f t="shared" si="1"/>
        <v>14.9923414285807</v>
      </c>
      <c r="F45" s="2">
        <f t="shared" si="0"/>
        <v>1.2006129986931622</v>
      </c>
      <c r="G45" s="2">
        <f t="shared" si="2"/>
        <v>2.34375</v>
      </c>
      <c r="H45" t="s">
        <v>400</v>
      </c>
    </row>
    <row r="46" spans="1:8">
      <c r="A46" s="2" t="s">
        <v>445</v>
      </c>
      <c r="B46" s="2" t="s">
        <v>399</v>
      </c>
      <c r="C46" s="2">
        <v>8</v>
      </c>
      <c r="D46" s="2">
        <v>6165.41479342616</v>
      </c>
      <c r="E46" s="2">
        <f t="shared" si="1"/>
        <v>6.1654147934261596</v>
      </c>
      <c r="F46" s="2">
        <f t="shared" si="0"/>
        <v>1.2975607105186104</v>
      </c>
      <c r="G46" s="2">
        <f t="shared" si="2"/>
        <v>1.0416666666666667</v>
      </c>
      <c r="H46" t="s">
        <v>400</v>
      </c>
    </row>
    <row r="47" spans="1:8">
      <c r="A47" s="2" t="s">
        <v>446</v>
      </c>
      <c r="B47" s="2" t="s">
        <v>399</v>
      </c>
      <c r="C47" s="2">
        <v>20</v>
      </c>
      <c r="D47" s="2">
        <v>19456.923902828701</v>
      </c>
      <c r="E47" s="2">
        <f t="shared" si="1"/>
        <v>19.456923902828702</v>
      </c>
      <c r="F47" s="2">
        <f t="shared" si="0"/>
        <v>1.0279117140964067</v>
      </c>
      <c r="G47" s="2">
        <f t="shared" si="2"/>
        <v>2.604166666666667</v>
      </c>
      <c r="H47" t="s">
        <v>400</v>
      </c>
    </row>
    <row r="48" spans="1:8">
      <c r="A48" s="2" t="s">
        <v>447</v>
      </c>
      <c r="B48" s="2" t="s">
        <v>399</v>
      </c>
      <c r="C48" s="2">
        <v>15</v>
      </c>
      <c r="D48" s="2">
        <v>8826.4773341085092</v>
      </c>
      <c r="E48" s="2">
        <f t="shared" si="1"/>
        <v>8.8264773341085085</v>
      </c>
      <c r="F48" s="2">
        <f t="shared" si="0"/>
        <v>1.6994322233214039</v>
      </c>
      <c r="G48" s="2">
        <f t="shared" si="2"/>
        <v>1.953125</v>
      </c>
      <c r="H48" t="s">
        <v>400</v>
      </c>
    </row>
    <row r="49" spans="1:8">
      <c r="A49" t="s">
        <v>448</v>
      </c>
      <c r="B49" t="s">
        <v>399</v>
      </c>
      <c r="C49">
        <v>5</v>
      </c>
      <c r="D49">
        <v>8814.0565282935095</v>
      </c>
      <c r="E49" s="2">
        <f t="shared" si="1"/>
        <v>8.8140565282935093</v>
      </c>
      <c r="F49" s="2">
        <v>0.56699999999999995</v>
      </c>
      <c r="G49" s="2">
        <f t="shared" si="2"/>
        <v>0.65104166666666674</v>
      </c>
      <c r="H49" t="s">
        <v>449</v>
      </c>
    </row>
    <row r="50" spans="1:8">
      <c r="A50" t="s">
        <v>450</v>
      </c>
      <c r="B50" t="s">
        <v>399</v>
      </c>
      <c r="C50">
        <v>5</v>
      </c>
      <c r="D50">
        <v>16203.1897760017</v>
      </c>
      <c r="E50" s="2">
        <f t="shared" si="1"/>
        <v>16.2031897760017</v>
      </c>
      <c r="F50">
        <v>0.309</v>
      </c>
      <c r="G50" s="2">
        <f t="shared" si="2"/>
        <v>0.65104166666666674</v>
      </c>
      <c r="H50" t="s">
        <v>449</v>
      </c>
    </row>
    <row r="51" spans="1:8">
      <c r="A51" t="s">
        <v>451</v>
      </c>
      <c r="B51" t="s">
        <v>399</v>
      </c>
      <c r="C51">
        <v>8</v>
      </c>
      <c r="D51">
        <v>16320.1686031873</v>
      </c>
      <c r="E51" s="2">
        <f t="shared" si="1"/>
        <v>16.320168603187298</v>
      </c>
      <c r="F51">
        <v>0.49</v>
      </c>
      <c r="G51" s="2">
        <f t="shared" si="2"/>
        <v>1.0416666666666667</v>
      </c>
      <c r="H51" t="s">
        <v>449</v>
      </c>
    </row>
    <row r="52" spans="1:8">
      <c r="A52" t="s">
        <v>452</v>
      </c>
      <c r="B52" t="s">
        <v>399</v>
      </c>
      <c r="C52">
        <v>20</v>
      </c>
      <c r="D52">
        <v>15666.041619436101</v>
      </c>
      <c r="E52" s="2">
        <f t="shared" si="1"/>
        <v>15.666041619436101</v>
      </c>
      <c r="F52">
        <v>1.2769999999999999</v>
      </c>
      <c r="G52" s="2">
        <f t="shared" si="2"/>
        <v>2.604166666666667</v>
      </c>
      <c r="H52" t="s">
        <v>449</v>
      </c>
    </row>
    <row r="53" spans="1:8">
      <c r="A53" t="s">
        <v>453</v>
      </c>
      <c r="B53" t="s">
        <v>399</v>
      </c>
      <c r="C53">
        <v>15</v>
      </c>
      <c r="D53">
        <v>13412.368230341801</v>
      </c>
      <c r="E53" s="2">
        <f t="shared" si="1"/>
        <v>13.412368230341801</v>
      </c>
      <c r="F53">
        <v>1.1180000000000001</v>
      </c>
      <c r="G53" s="2">
        <f t="shared" si="2"/>
        <v>1.953125</v>
      </c>
      <c r="H53" t="s">
        <v>449</v>
      </c>
    </row>
    <row r="54" spans="1:8">
      <c r="A54" t="s">
        <v>454</v>
      </c>
      <c r="B54" t="s">
        <v>399</v>
      </c>
      <c r="C54">
        <v>20</v>
      </c>
      <c r="D54">
        <v>13750.831952020701</v>
      </c>
      <c r="E54" s="2">
        <f t="shared" si="1"/>
        <v>13.7508319520207</v>
      </c>
      <c r="F54">
        <v>1.454</v>
      </c>
      <c r="G54" s="2">
        <f t="shared" si="2"/>
        <v>2.604166666666667</v>
      </c>
      <c r="H54" t="s">
        <v>449</v>
      </c>
    </row>
    <row r="55" spans="1:8">
      <c r="A55" t="s">
        <v>455</v>
      </c>
      <c r="B55" t="s">
        <v>399</v>
      </c>
      <c r="C55">
        <v>10</v>
      </c>
      <c r="D55">
        <v>10017.8406862094</v>
      </c>
      <c r="E55" s="2">
        <f t="shared" si="1"/>
        <v>10.0178406862094</v>
      </c>
      <c r="F55">
        <v>0.998</v>
      </c>
      <c r="G55" s="2">
        <f t="shared" si="2"/>
        <v>1.3020833333333335</v>
      </c>
      <c r="H55" t="s">
        <v>449</v>
      </c>
    </row>
    <row r="56" spans="1:8">
      <c r="A56" t="s">
        <v>456</v>
      </c>
      <c r="B56" t="s">
        <v>399</v>
      </c>
      <c r="C56">
        <v>20</v>
      </c>
      <c r="D56">
        <v>12065.181696428899</v>
      </c>
      <c r="E56" s="2">
        <f t="shared" si="1"/>
        <v>12.065181696428899</v>
      </c>
      <c r="F56">
        <v>1.6579999999999999</v>
      </c>
      <c r="G56" s="2">
        <f t="shared" si="2"/>
        <v>2.604166666666667</v>
      </c>
      <c r="H56" t="s">
        <v>449</v>
      </c>
    </row>
    <row r="57" spans="1:8">
      <c r="A57" t="s">
        <v>457</v>
      </c>
      <c r="B57" t="s">
        <v>399</v>
      </c>
      <c r="C57">
        <v>8</v>
      </c>
      <c r="D57">
        <v>11733.5564209362</v>
      </c>
      <c r="E57" s="2">
        <f t="shared" si="1"/>
        <v>11.7335564209362</v>
      </c>
      <c r="F57">
        <v>0.68200000000000005</v>
      </c>
      <c r="G57" s="2">
        <f t="shared" si="2"/>
        <v>1.0416666666666667</v>
      </c>
      <c r="H57" t="s">
        <v>449</v>
      </c>
    </row>
    <row r="58" spans="1:8">
      <c r="A58" t="s">
        <v>458</v>
      </c>
      <c r="B58" t="s">
        <v>399</v>
      </c>
      <c r="C58">
        <v>5</v>
      </c>
      <c r="D58">
        <v>10980.743616318799</v>
      </c>
      <c r="E58" s="2">
        <f t="shared" si="1"/>
        <v>10.980743616318799</v>
      </c>
      <c r="F58">
        <v>0.45500000000000002</v>
      </c>
      <c r="G58" s="2">
        <f t="shared" si="2"/>
        <v>0.65104166666666674</v>
      </c>
      <c r="H58" t="s">
        <v>449</v>
      </c>
    </row>
    <row r="59" spans="1:8">
      <c r="A59" t="s">
        <v>459</v>
      </c>
      <c r="B59" t="s">
        <v>399</v>
      </c>
      <c r="C59">
        <v>23</v>
      </c>
      <c r="D59">
        <v>23112.764423131899</v>
      </c>
      <c r="E59" s="2">
        <f t="shared" si="1"/>
        <v>23.1127644231319</v>
      </c>
      <c r="F59">
        <v>0.995</v>
      </c>
      <c r="G59" s="2">
        <f t="shared" si="2"/>
        <v>2.994791666666667</v>
      </c>
      <c r="H59" t="s">
        <v>449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19CE5-16F0-4970-B2B6-68909242AFDE}">
  <dimension ref="A3:D20"/>
  <sheetViews>
    <sheetView tabSelected="1" workbookViewId="0">
      <selection activeCell="H25" sqref="H25"/>
    </sheetView>
  </sheetViews>
  <sheetFormatPr defaultColWidth="11.42578125" defaultRowHeight="15"/>
  <cols>
    <col min="1" max="1" width="20.140625" bestFit="1" customWidth="1"/>
    <col min="2" max="2" width="16.42578125" bestFit="1" customWidth="1"/>
    <col min="3" max="3" width="19.85546875" bestFit="1" customWidth="1"/>
    <col min="4" max="4" width="18.28515625" bestFit="1" customWidth="1"/>
  </cols>
  <sheetData>
    <row r="3" spans="1:4">
      <c r="C3" s="6" t="s">
        <v>460</v>
      </c>
    </row>
    <row r="4" spans="1:4">
      <c r="A4" s="6" t="s">
        <v>0</v>
      </c>
      <c r="B4" s="6" t="s">
        <v>1</v>
      </c>
      <c r="C4" t="s">
        <v>461</v>
      </c>
      <c r="D4" t="s">
        <v>462</v>
      </c>
    </row>
    <row r="5" spans="1:4">
      <c r="A5">
        <v>3</v>
      </c>
      <c r="B5" t="s">
        <v>20</v>
      </c>
      <c r="C5">
        <v>5</v>
      </c>
      <c r="D5">
        <v>1.8343195266272188E-2</v>
      </c>
    </row>
    <row r="6" spans="1:4">
      <c r="A6">
        <v>11</v>
      </c>
      <c r="B6" t="s">
        <v>82</v>
      </c>
      <c r="C6">
        <v>54</v>
      </c>
      <c r="D6">
        <v>0.19112426035502961</v>
      </c>
    </row>
    <row r="7" spans="1:4">
      <c r="A7">
        <v>15</v>
      </c>
      <c r="B7" t="s">
        <v>94</v>
      </c>
      <c r="C7">
        <v>66</v>
      </c>
      <c r="D7">
        <v>0.24082840236686387</v>
      </c>
    </row>
    <row r="8" spans="1:4">
      <c r="A8">
        <v>18</v>
      </c>
      <c r="B8" t="s">
        <v>73</v>
      </c>
      <c r="C8">
        <v>120</v>
      </c>
      <c r="D8">
        <v>0.43668639053254421</v>
      </c>
    </row>
    <row r="9" spans="1:4">
      <c r="A9">
        <v>31</v>
      </c>
      <c r="B9" t="s">
        <v>90</v>
      </c>
      <c r="C9">
        <v>28</v>
      </c>
      <c r="D9">
        <v>9.8224852071005911E-2</v>
      </c>
    </row>
    <row r="10" spans="1:4">
      <c r="A10">
        <v>32</v>
      </c>
      <c r="B10" t="s">
        <v>84</v>
      </c>
      <c r="C10">
        <v>45</v>
      </c>
      <c r="D10">
        <v>0.16153846153846158</v>
      </c>
    </row>
    <row r="11" spans="1:4">
      <c r="A11">
        <v>33</v>
      </c>
      <c r="B11" t="s">
        <v>23</v>
      </c>
      <c r="C11">
        <v>87</v>
      </c>
      <c r="D11">
        <v>0.33846153846153848</v>
      </c>
    </row>
    <row r="12" spans="1:4">
      <c r="A12">
        <v>34</v>
      </c>
      <c r="B12" t="s">
        <v>25</v>
      </c>
      <c r="C12">
        <v>238</v>
      </c>
      <c r="D12">
        <v>0.96331360946745548</v>
      </c>
    </row>
    <row r="13" spans="1:4">
      <c r="A13">
        <v>39</v>
      </c>
      <c r="B13" t="s">
        <v>60</v>
      </c>
      <c r="C13">
        <v>18</v>
      </c>
      <c r="D13">
        <v>6.9230769230769248E-2</v>
      </c>
    </row>
    <row r="14" spans="1:4">
      <c r="A14">
        <v>40</v>
      </c>
      <c r="B14" t="s">
        <v>39</v>
      </c>
      <c r="C14">
        <v>69</v>
      </c>
      <c r="D14">
        <v>0.2715976331360947</v>
      </c>
    </row>
    <row r="15" spans="1:4">
      <c r="A15">
        <v>42</v>
      </c>
      <c r="B15" t="s">
        <v>28</v>
      </c>
      <c r="C15">
        <v>86</v>
      </c>
      <c r="D15">
        <v>0.34437869822485206</v>
      </c>
    </row>
    <row r="16" spans="1:4">
      <c r="A16">
        <v>46</v>
      </c>
      <c r="B16" t="s">
        <v>32</v>
      </c>
      <c r="C16">
        <v>147</v>
      </c>
      <c r="D16">
        <v>0.55917159763313629</v>
      </c>
    </row>
    <row r="17" spans="1:4">
      <c r="A17">
        <v>50</v>
      </c>
      <c r="B17" t="s">
        <v>21</v>
      </c>
      <c r="C17">
        <v>163</v>
      </c>
      <c r="D17">
        <v>0.64319526627218937</v>
      </c>
    </row>
    <row r="18" spans="1:4">
      <c r="A18">
        <v>55</v>
      </c>
      <c r="B18" t="s">
        <v>44</v>
      </c>
      <c r="C18">
        <v>92</v>
      </c>
      <c r="D18">
        <v>0.35147928994082844</v>
      </c>
    </row>
    <row r="19" spans="1:4">
      <c r="A19">
        <v>56</v>
      </c>
      <c r="B19" t="s">
        <v>19</v>
      </c>
      <c r="C19">
        <v>121</v>
      </c>
      <c r="D19">
        <v>0.50236686390532559</v>
      </c>
    </row>
    <row r="20" spans="1:4">
      <c r="A20" t="s">
        <v>463</v>
      </c>
      <c r="C20">
        <v>1339</v>
      </c>
      <c r="D20">
        <v>5.1899408284023663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EC585885EB71F4DB0D9FB45E4A66F2C" ma:contentTypeVersion="3" ma:contentTypeDescription="Opprett et nytt dokument." ma:contentTypeScope="" ma:versionID="f382b6a2fd235f283bf5cecf5e56262d">
  <xsd:schema xmlns:xsd="http://www.w3.org/2001/XMLSchema" xmlns:xs="http://www.w3.org/2001/XMLSchema" xmlns:p="http://schemas.microsoft.com/office/2006/metadata/properties" xmlns:ns2="e2dd498c-680f-4fa4-b475-961296ca3ef1" targetNamespace="http://schemas.microsoft.com/office/2006/metadata/properties" ma:root="true" ma:fieldsID="c7bc32ed49db3fd258cd61b46b16d772" ns2:_="">
    <xsd:import namespace="e2dd498c-680f-4fa4-b475-961296ca3e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dd498c-680f-4fa4-b475-961296ca3e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437293-D61D-4615-AA30-CB28B411FD25}"/>
</file>

<file path=customXml/itemProps2.xml><?xml version="1.0" encoding="utf-8"?>
<ds:datastoreItem xmlns:ds="http://schemas.openxmlformats.org/officeDocument/2006/customXml" ds:itemID="{DC5C4A3F-7E6F-44A8-A3D4-E3CB6C1CDC09}"/>
</file>

<file path=customXml/itemProps3.xml><?xml version="1.0" encoding="utf-8"?>
<ds:datastoreItem xmlns:ds="http://schemas.openxmlformats.org/officeDocument/2006/customXml" ds:itemID="{A7F6F14C-1E68-41F2-ABF3-87D3C60C31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Kartverket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Jens Kristian Hvalgård</dc:creator>
  <cp:keywords/>
  <dc:description/>
  <cp:lastModifiedBy/>
  <cp:revision/>
  <dcterms:created xsi:type="dcterms:W3CDTF">2025-09-03T07:44:22Z</dcterms:created>
  <dcterms:modified xsi:type="dcterms:W3CDTF">2026-03-31T10:45:21Z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0x010100EEC585885EB71F4DB0D9FB45E4A66F2C</vt:lpwstr>
  </property>
  <property fmtid="{D5CDD505-2E9C-101B-9397-08002B2CF9AE}" pid="3" name="MediaServiceImageTags">
    <vt:lpwstr/>
  </property>
</Properties>
</file>